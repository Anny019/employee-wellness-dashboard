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wellauratech\"/>
    </mc:Choice>
  </mc:AlternateContent>
  <xr:revisionPtr revIDLastSave="0" documentId="13_ncr:1_{AA2CCA23-85C2-45F2-8C56-D3271CA27193}" xr6:coauthVersionLast="47" xr6:coauthVersionMax="47" xr10:uidLastSave="{00000000-0000-0000-0000-000000000000}"/>
  <bookViews>
    <workbookView xWindow="-96" yWindow="0" windowWidth="13716" windowHeight="12336" xr2:uid="{00000000-000D-0000-FFFF-FFFF00000000}"/>
  </bookViews>
  <sheets>
    <sheet name="WellAura_Data" sheetId="1" r:id="rId1"/>
    <sheet name="Summary SheetAvg WES" sheetId="5" r:id="rId2"/>
    <sheet name="Insights Sheet" sheetId="3" r:id="rId3"/>
    <sheet name="Data_Dictionary" sheetId="4" r:id="rId4"/>
  </sheets>
  <calcPr calcId="191029"/>
</workbook>
</file>

<file path=xl/calcChain.xml><?xml version="1.0" encoding="utf-8"?>
<calcChain xmlns="http://schemas.openxmlformats.org/spreadsheetml/2006/main">
  <c r="B5" i="5" l="1"/>
  <c r="B4" i="5"/>
  <c r="B3" i="5"/>
  <c r="B12" i="5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2" i="1"/>
  <c r="B2" i="5"/>
  <c r="B6" i="5"/>
  <c r="B11" i="5"/>
  <c r="B9" i="5"/>
  <c r="B8" i="5"/>
  <c r="B7" i="5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2" i="1"/>
  <c r="Q2" i="1"/>
  <c r="R4" i="1"/>
  <c r="R2" i="1"/>
  <c r="S101" i="1"/>
  <c r="T101" i="1" s="1"/>
  <c r="R101" i="1"/>
  <c r="Q101" i="1"/>
  <c r="S100" i="1"/>
  <c r="T100" i="1" s="1"/>
  <c r="R100" i="1"/>
  <c r="Q100" i="1"/>
  <c r="S99" i="1"/>
  <c r="T99" i="1" s="1"/>
  <c r="R99" i="1"/>
  <c r="Q99" i="1"/>
  <c r="S98" i="1"/>
  <c r="T98" i="1" s="1"/>
  <c r="R98" i="1"/>
  <c r="Q98" i="1"/>
  <c r="S97" i="1"/>
  <c r="T97" i="1" s="1"/>
  <c r="R97" i="1"/>
  <c r="Q97" i="1"/>
  <c r="S96" i="1"/>
  <c r="T96" i="1" s="1"/>
  <c r="R96" i="1"/>
  <c r="Q96" i="1"/>
  <c r="S95" i="1"/>
  <c r="T95" i="1" s="1"/>
  <c r="R95" i="1"/>
  <c r="Q95" i="1"/>
  <c r="S94" i="1"/>
  <c r="T94" i="1" s="1"/>
  <c r="R94" i="1"/>
  <c r="Q94" i="1"/>
  <c r="S93" i="1"/>
  <c r="T93" i="1" s="1"/>
  <c r="R93" i="1"/>
  <c r="Q93" i="1"/>
  <c r="S92" i="1"/>
  <c r="T92" i="1" s="1"/>
  <c r="R92" i="1"/>
  <c r="Q92" i="1"/>
  <c r="S91" i="1"/>
  <c r="T91" i="1" s="1"/>
  <c r="R91" i="1"/>
  <c r="Q91" i="1"/>
  <c r="S90" i="1"/>
  <c r="T90" i="1" s="1"/>
  <c r="R90" i="1"/>
  <c r="Q90" i="1"/>
  <c r="S89" i="1"/>
  <c r="T89" i="1" s="1"/>
  <c r="R89" i="1"/>
  <c r="Q89" i="1"/>
  <c r="S88" i="1"/>
  <c r="T88" i="1" s="1"/>
  <c r="R88" i="1"/>
  <c r="Q88" i="1"/>
  <c r="S87" i="1"/>
  <c r="T87" i="1" s="1"/>
  <c r="R87" i="1"/>
  <c r="Q87" i="1"/>
  <c r="S86" i="1"/>
  <c r="T86" i="1" s="1"/>
  <c r="R86" i="1"/>
  <c r="Q86" i="1"/>
  <c r="S85" i="1"/>
  <c r="T85" i="1" s="1"/>
  <c r="R85" i="1"/>
  <c r="Q85" i="1"/>
  <c r="S84" i="1"/>
  <c r="T84" i="1" s="1"/>
  <c r="R84" i="1"/>
  <c r="Q84" i="1"/>
  <c r="S83" i="1"/>
  <c r="T83" i="1" s="1"/>
  <c r="R83" i="1"/>
  <c r="Q83" i="1"/>
  <c r="S82" i="1"/>
  <c r="T82" i="1" s="1"/>
  <c r="R82" i="1"/>
  <c r="Q82" i="1"/>
  <c r="S81" i="1"/>
  <c r="T81" i="1" s="1"/>
  <c r="R81" i="1"/>
  <c r="Q81" i="1"/>
  <c r="S80" i="1"/>
  <c r="T80" i="1" s="1"/>
  <c r="R80" i="1"/>
  <c r="Q80" i="1"/>
  <c r="S79" i="1"/>
  <c r="T79" i="1" s="1"/>
  <c r="R79" i="1"/>
  <c r="Q79" i="1"/>
  <c r="S78" i="1"/>
  <c r="T78" i="1" s="1"/>
  <c r="R78" i="1"/>
  <c r="Q78" i="1"/>
  <c r="S77" i="1"/>
  <c r="T77" i="1" s="1"/>
  <c r="R77" i="1"/>
  <c r="Q77" i="1"/>
  <c r="S76" i="1"/>
  <c r="T76" i="1" s="1"/>
  <c r="R76" i="1"/>
  <c r="Q76" i="1"/>
  <c r="S75" i="1"/>
  <c r="T75" i="1" s="1"/>
  <c r="R75" i="1"/>
  <c r="Q75" i="1"/>
  <c r="S74" i="1"/>
  <c r="T74" i="1" s="1"/>
  <c r="R74" i="1"/>
  <c r="Q74" i="1"/>
  <c r="S73" i="1"/>
  <c r="T73" i="1" s="1"/>
  <c r="R73" i="1"/>
  <c r="Q73" i="1"/>
  <c r="S72" i="1"/>
  <c r="T72" i="1" s="1"/>
  <c r="R72" i="1"/>
  <c r="Q72" i="1"/>
  <c r="S71" i="1"/>
  <c r="T71" i="1" s="1"/>
  <c r="R71" i="1"/>
  <c r="Q71" i="1"/>
  <c r="S70" i="1"/>
  <c r="T70" i="1" s="1"/>
  <c r="R70" i="1"/>
  <c r="Q70" i="1"/>
  <c r="S69" i="1"/>
  <c r="T69" i="1" s="1"/>
  <c r="R69" i="1"/>
  <c r="Q69" i="1"/>
  <c r="S68" i="1"/>
  <c r="T68" i="1" s="1"/>
  <c r="R68" i="1"/>
  <c r="Q68" i="1"/>
  <c r="S67" i="1"/>
  <c r="T67" i="1" s="1"/>
  <c r="R67" i="1"/>
  <c r="Q67" i="1"/>
  <c r="S66" i="1"/>
  <c r="T66" i="1" s="1"/>
  <c r="R66" i="1"/>
  <c r="Q66" i="1"/>
  <c r="S65" i="1"/>
  <c r="T65" i="1" s="1"/>
  <c r="R65" i="1"/>
  <c r="Q65" i="1"/>
  <c r="S64" i="1"/>
  <c r="T64" i="1" s="1"/>
  <c r="R64" i="1"/>
  <c r="Q64" i="1"/>
  <c r="S63" i="1"/>
  <c r="T63" i="1" s="1"/>
  <c r="R63" i="1"/>
  <c r="Q63" i="1"/>
  <c r="S62" i="1"/>
  <c r="T62" i="1" s="1"/>
  <c r="R62" i="1"/>
  <c r="Q62" i="1"/>
  <c r="S61" i="1"/>
  <c r="T61" i="1" s="1"/>
  <c r="R61" i="1"/>
  <c r="Q61" i="1"/>
  <c r="S60" i="1"/>
  <c r="T60" i="1" s="1"/>
  <c r="R60" i="1"/>
  <c r="Q60" i="1"/>
  <c r="S59" i="1"/>
  <c r="T59" i="1" s="1"/>
  <c r="R59" i="1"/>
  <c r="Q59" i="1"/>
  <c r="S58" i="1"/>
  <c r="T58" i="1" s="1"/>
  <c r="R58" i="1"/>
  <c r="Q58" i="1"/>
  <c r="S57" i="1"/>
  <c r="T57" i="1" s="1"/>
  <c r="R57" i="1"/>
  <c r="Q57" i="1"/>
  <c r="S56" i="1"/>
  <c r="T56" i="1" s="1"/>
  <c r="R56" i="1"/>
  <c r="Q56" i="1"/>
  <c r="S55" i="1"/>
  <c r="T55" i="1" s="1"/>
  <c r="R55" i="1"/>
  <c r="Q55" i="1"/>
  <c r="S54" i="1"/>
  <c r="T54" i="1" s="1"/>
  <c r="R54" i="1"/>
  <c r="Q54" i="1"/>
  <c r="S53" i="1"/>
  <c r="T53" i="1" s="1"/>
  <c r="R53" i="1"/>
  <c r="Q53" i="1"/>
  <c r="S52" i="1"/>
  <c r="T52" i="1" s="1"/>
  <c r="R52" i="1"/>
  <c r="Q52" i="1"/>
  <c r="S51" i="1"/>
  <c r="T51" i="1" s="1"/>
  <c r="R51" i="1"/>
  <c r="Q51" i="1"/>
  <c r="S50" i="1"/>
  <c r="T50" i="1" s="1"/>
  <c r="R50" i="1"/>
  <c r="Q50" i="1"/>
  <c r="S49" i="1"/>
  <c r="T49" i="1" s="1"/>
  <c r="R49" i="1"/>
  <c r="Q49" i="1"/>
  <c r="S48" i="1"/>
  <c r="T48" i="1" s="1"/>
  <c r="R48" i="1"/>
  <c r="Q48" i="1"/>
  <c r="S47" i="1"/>
  <c r="T47" i="1" s="1"/>
  <c r="R47" i="1"/>
  <c r="Q47" i="1"/>
  <c r="S46" i="1"/>
  <c r="T46" i="1" s="1"/>
  <c r="R46" i="1"/>
  <c r="Q46" i="1"/>
  <c r="S45" i="1"/>
  <c r="T45" i="1" s="1"/>
  <c r="R45" i="1"/>
  <c r="Q45" i="1"/>
  <c r="S44" i="1"/>
  <c r="T44" i="1" s="1"/>
  <c r="R44" i="1"/>
  <c r="Q44" i="1"/>
  <c r="S43" i="1"/>
  <c r="T43" i="1" s="1"/>
  <c r="R43" i="1"/>
  <c r="Q43" i="1"/>
  <c r="S42" i="1"/>
  <c r="T42" i="1" s="1"/>
  <c r="R42" i="1"/>
  <c r="Q42" i="1"/>
  <c r="S41" i="1"/>
  <c r="T41" i="1" s="1"/>
  <c r="R41" i="1"/>
  <c r="Q41" i="1"/>
  <c r="S40" i="1"/>
  <c r="T40" i="1" s="1"/>
  <c r="R40" i="1"/>
  <c r="Q40" i="1"/>
  <c r="S39" i="1"/>
  <c r="T39" i="1" s="1"/>
  <c r="R39" i="1"/>
  <c r="Q39" i="1"/>
  <c r="S38" i="1"/>
  <c r="T38" i="1" s="1"/>
  <c r="R38" i="1"/>
  <c r="Q38" i="1"/>
  <c r="S37" i="1"/>
  <c r="T37" i="1" s="1"/>
  <c r="R37" i="1"/>
  <c r="Q37" i="1"/>
  <c r="S36" i="1"/>
  <c r="T36" i="1" s="1"/>
  <c r="R36" i="1"/>
  <c r="Q36" i="1"/>
  <c r="S35" i="1"/>
  <c r="T35" i="1" s="1"/>
  <c r="R35" i="1"/>
  <c r="Q35" i="1"/>
  <c r="S34" i="1"/>
  <c r="T34" i="1" s="1"/>
  <c r="R34" i="1"/>
  <c r="Q34" i="1"/>
  <c r="S33" i="1"/>
  <c r="T33" i="1" s="1"/>
  <c r="R33" i="1"/>
  <c r="Q33" i="1"/>
  <c r="S32" i="1"/>
  <c r="T32" i="1" s="1"/>
  <c r="R32" i="1"/>
  <c r="Q32" i="1"/>
  <c r="S31" i="1"/>
  <c r="T31" i="1" s="1"/>
  <c r="R31" i="1"/>
  <c r="Q31" i="1"/>
  <c r="S30" i="1"/>
  <c r="T30" i="1" s="1"/>
  <c r="R30" i="1"/>
  <c r="Q30" i="1"/>
  <c r="S29" i="1"/>
  <c r="T29" i="1" s="1"/>
  <c r="R29" i="1"/>
  <c r="Q29" i="1"/>
  <c r="S28" i="1"/>
  <c r="T28" i="1" s="1"/>
  <c r="R28" i="1"/>
  <c r="Q28" i="1"/>
  <c r="S27" i="1"/>
  <c r="T27" i="1" s="1"/>
  <c r="R27" i="1"/>
  <c r="Q27" i="1"/>
  <c r="S26" i="1"/>
  <c r="T26" i="1" s="1"/>
  <c r="R26" i="1"/>
  <c r="Q26" i="1"/>
  <c r="S25" i="1"/>
  <c r="T25" i="1" s="1"/>
  <c r="R25" i="1"/>
  <c r="Q25" i="1"/>
  <c r="S24" i="1"/>
  <c r="T24" i="1" s="1"/>
  <c r="R24" i="1"/>
  <c r="Q24" i="1"/>
  <c r="S23" i="1"/>
  <c r="T23" i="1" s="1"/>
  <c r="R23" i="1"/>
  <c r="Q23" i="1"/>
  <c r="S22" i="1"/>
  <c r="T22" i="1" s="1"/>
  <c r="R22" i="1"/>
  <c r="Q22" i="1"/>
  <c r="S21" i="1"/>
  <c r="T21" i="1" s="1"/>
  <c r="R21" i="1"/>
  <c r="Q21" i="1"/>
  <c r="S20" i="1"/>
  <c r="T20" i="1" s="1"/>
  <c r="R20" i="1"/>
  <c r="Q20" i="1"/>
  <c r="S19" i="1"/>
  <c r="T19" i="1" s="1"/>
  <c r="R19" i="1"/>
  <c r="Q19" i="1"/>
  <c r="S18" i="1"/>
  <c r="T18" i="1" s="1"/>
  <c r="R18" i="1"/>
  <c r="Q18" i="1"/>
  <c r="S17" i="1"/>
  <c r="T17" i="1" s="1"/>
  <c r="R17" i="1"/>
  <c r="Q17" i="1"/>
  <c r="S16" i="1"/>
  <c r="T16" i="1" s="1"/>
  <c r="R16" i="1"/>
  <c r="Q16" i="1"/>
  <c r="S15" i="1"/>
  <c r="T15" i="1" s="1"/>
  <c r="R15" i="1"/>
  <c r="Q15" i="1"/>
  <c r="S14" i="1"/>
  <c r="T14" i="1" s="1"/>
  <c r="R14" i="1"/>
  <c r="Q14" i="1"/>
  <c r="S13" i="1"/>
  <c r="T13" i="1" s="1"/>
  <c r="R13" i="1"/>
  <c r="Q13" i="1"/>
  <c r="S12" i="1"/>
  <c r="T12" i="1" s="1"/>
  <c r="R12" i="1"/>
  <c r="Q12" i="1"/>
  <c r="S11" i="1"/>
  <c r="T11" i="1" s="1"/>
  <c r="R11" i="1"/>
  <c r="Q11" i="1"/>
  <c r="S10" i="1"/>
  <c r="T10" i="1" s="1"/>
  <c r="R10" i="1"/>
  <c r="Q10" i="1"/>
  <c r="S9" i="1"/>
  <c r="T9" i="1" s="1"/>
  <c r="R9" i="1"/>
  <c r="Q9" i="1"/>
  <c r="S8" i="1"/>
  <c r="T8" i="1" s="1"/>
  <c r="R8" i="1"/>
  <c r="Q8" i="1"/>
  <c r="S7" i="1"/>
  <c r="T7" i="1" s="1"/>
  <c r="R7" i="1"/>
  <c r="Q7" i="1"/>
  <c r="S6" i="1"/>
  <c r="T6" i="1" s="1"/>
  <c r="R6" i="1"/>
  <c r="Q6" i="1"/>
  <c r="S5" i="1"/>
  <c r="T5" i="1" s="1"/>
  <c r="R5" i="1"/>
  <c r="Q5" i="1"/>
  <c r="S4" i="1"/>
  <c r="T4" i="1" s="1"/>
  <c r="Q4" i="1"/>
  <c r="S3" i="1"/>
  <c r="T3" i="1" s="1"/>
  <c r="R3" i="1"/>
  <c r="Q3" i="1"/>
  <c r="S2" i="1"/>
  <c r="T2" i="1" s="1"/>
  <c r="B10" i="5" l="1"/>
  <c r="X3" i="1"/>
  <c r="V3" i="1"/>
  <c r="U3" i="1"/>
  <c r="X4" i="1"/>
  <c r="V4" i="1"/>
  <c r="U4" i="1"/>
  <c r="X5" i="1"/>
  <c r="V5" i="1"/>
  <c r="U5" i="1"/>
  <c r="X6" i="1"/>
  <c r="V6" i="1"/>
  <c r="U6" i="1"/>
  <c r="X7" i="1"/>
  <c r="V7" i="1"/>
  <c r="U7" i="1"/>
  <c r="X8" i="1"/>
  <c r="V8" i="1"/>
  <c r="U8" i="1"/>
  <c r="X9" i="1"/>
  <c r="V9" i="1"/>
  <c r="U9" i="1"/>
  <c r="X10" i="1"/>
  <c r="V10" i="1"/>
  <c r="U10" i="1"/>
  <c r="X11" i="1"/>
  <c r="V11" i="1"/>
  <c r="U11" i="1"/>
  <c r="X12" i="1"/>
  <c r="V12" i="1"/>
  <c r="U12" i="1"/>
  <c r="X13" i="1"/>
  <c r="V13" i="1"/>
  <c r="U13" i="1"/>
  <c r="X14" i="1"/>
  <c r="V14" i="1"/>
  <c r="U14" i="1"/>
  <c r="X15" i="1"/>
  <c r="V15" i="1"/>
  <c r="U15" i="1"/>
  <c r="X16" i="1"/>
  <c r="V16" i="1"/>
  <c r="U16" i="1"/>
  <c r="X17" i="1"/>
  <c r="V17" i="1"/>
  <c r="U17" i="1"/>
  <c r="X18" i="1"/>
  <c r="V18" i="1"/>
  <c r="U18" i="1"/>
  <c r="X19" i="1"/>
  <c r="V19" i="1"/>
  <c r="U19" i="1"/>
  <c r="X20" i="1"/>
  <c r="V20" i="1"/>
  <c r="U20" i="1"/>
  <c r="X21" i="1"/>
  <c r="V21" i="1"/>
  <c r="U21" i="1"/>
  <c r="X22" i="1"/>
  <c r="V22" i="1"/>
  <c r="U22" i="1"/>
  <c r="X23" i="1"/>
  <c r="V23" i="1"/>
  <c r="U23" i="1"/>
  <c r="X24" i="1"/>
  <c r="V24" i="1"/>
  <c r="U24" i="1"/>
  <c r="X25" i="1"/>
  <c r="V25" i="1"/>
  <c r="U25" i="1"/>
  <c r="X26" i="1"/>
  <c r="V26" i="1"/>
  <c r="U26" i="1"/>
  <c r="X27" i="1"/>
  <c r="V27" i="1"/>
  <c r="U27" i="1"/>
  <c r="X28" i="1"/>
  <c r="V28" i="1"/>
  <c r="U28" i="1"/>
  <c r="X29" i="1"/>
  <c r="V29" i="1"/>
  <c r="U29" i="1"/>
  <c r="X30" i="1"/>
  <c r="V30" i="1"/>
  <c r="U30" i="1"/>
  <c r="X31" i="1"/>
  <c r="V31" i="1"/>
  <c r="U31" i="1"/>
  <c r="X32" i="1"/>
  <c r="V32" i="1"/>
  <c r="U32" i="1"/>
  <c r="X33" i="1"/>
  <c r="V33" i="1"/>
  <c r="U33" i="1"/>
  <c r="X34" i="1"/>
  <c r="V34" i="1"/>
  <c r="U34" i="1"/>
  <c r="X35" i="1"/>
  <c r="V35" i="1"/>
  <c r="U35" i="1"/>
  <c r="X36" i="1"/>
  <c r="V36" i="1"/>
  <c r="U36" i="1"/>
  <c r="X37" i="1"/>
  <c r="V37" i="1"/>
  <c r="U37" i="1"/>
  <c r="X38" i="1"/>
  <c r="V38" i="1"/>
  <c r="U38" i="1"/>
  <c r="X39" i="1"/>
  <c r="V39" i="1"/>
  <c r="U39" i="1"/>
  <c r="X40" i="1"/>
  <c r="V40" i="1"/>
  <c r="U40" i="1"/>
  <c r="X41" i="1"/>
  <c r="V41" i="1"/>
  <c r="U41" i="1"/>
  <c r="X42" i="1"/>
  <c r="V42" i="1"/>
  <c r="U42" i="1"/>
  <c r="X43" i="1"/>
  <c r="V43" i="1"/>
  <c r="U43" i="1"/>
  <c r="X44" i="1"/>
  <c r="V44" i="1"/>
  <c r="U44" i="1"/>
  <c r="X45" i="1"/>
  <c r="V45" i="1"/>
  <c r="U45" i="1"/>
  <c r="X46" i="1"/>
  <c r="V46" i="1"/>
  <c r="U46" i="1"/>
  <c r="X47" i="1"/>
  <c r="V47" i="1"/>
  <c r="U47" i="1"/>
  <c r="X48" i="1"/>
  <c r="V48" i="1"/>
  <c r="U48" i="1"/>
  <c r="X49" i="1"/>
  <c r="V49" i="1"/>
  <c r="U49" i="1"/>
  <c r="X50" i="1"/>
  <c r="V50" i="1"/>
  <c r="U50" i="1"/>
  <c r="X51" i="1"/>
  <c r="V51" i="1"/>
  <c r="U51" i="1"/>
  <c r="X52" i="1"/>
  <c r="V52" i="1"/>
  <c r="U52" i="1"/>
  <c r="X53" i="1"/>
  <c r="V53" i="1"/>
  <c r="U53" i="1"/>
  <c r="X54" i="1"/>
  <c r="V54" i="1"/>
  <c r="U54" i="1"/>
  <c r="X55" i="1"/>
  <c r="V55" i="1"/>
  <c r="U55" i="1"/>
  <c r="X56" i="1"/>
  <c r="V56" i="1"/>
  <c r="U56" i="1"/>
  <c r="X57" i="1"/>
  <c r="V57" i="1"/>
  <c r="U57" i="1"/>
  <c r="X58" i="1"/>
  <c r="V58" i="1"/>
  <c r="U58" i="1"/>
  <c r="X59" i="1"/>
  <c r="V59" i="1"/>
  <c r="U59" i="1"/>
  <c r="X60" i="1"/>
  <c r="V60" i="1"/>
  <c r="U60" i="1"/>
  <c r="X61" i="1"/>
  <c r="V61" i="1"/>
  <c r="U61" i="1"/>
  <c r="X62" i="1"/>
  <c r="V62" i="1"/>
  <c r="U62" i="1"/>
  <c r="X63" i="1"/>
  <c r="V63" i="1"/>
  <c r="U63" i="1"/>
  <c r="X64" i="1"/>
  <c r="V64" i="1"/>
  <c r="U64" i="1"/>
  <c r="X65" i="1"/>
  <c r="V65" i="1"/>
  <c r="U65" i="1"/>
  <c r="X66" i="1"/>
  <c r="V66" i="1"/>
  <c r="U66" i="1"/>
  <c r="X67" i="1"/>
  <c r="V67" i="1"/>
  <c r="U67" i="1"/>
  <c r="X68" i="1"/>
  <c r="V68" i="1"/>
  <c r="U68" i="1"/>
  <c r="X69" i="1"/>
  <c r="V69" i="1"/>
  <c r="U69" i="1"/>
  <c r="X70" i="1"/>
  <c r="V70" i="1"/>
  <c r="U70" i="1"/>
  <c r="X71" i="1"/>
  <c r="V71" i="1"/>
  <c r="U71" i="1"/>
  <c r="X72" i="1"/>
  <c r="V72" i="1"/>
  <c r="U72" i="1"/>
  <c r="X73" i="1"/>
  <c r="V73" i="1"/>
  <c r="U73" i="1"/>
  <c r="X74" i="1"/>
  <c r="V74" i="1"/>
  <c r="U74" i="1"/>
  <c r="X75" i="1"/>
  <c r="V75" i="1"/>
  <c r="U75" i="1"/>
  <c r="X76" i="1"/>
  <c r="V76" i="1"/>
  <c r="U76" i="1"/>
  <c r="X77" i="1"/>
  <c r="V77" i="1"/>
  <c r="U77" i="1"/>
  <c r="X78" i="1"/>
  <c r="V78" i="1"/>
  <c r="U78" i="1"/>
  <c r="X79" i="1"/>
  <c r="V79" i="1"/>
  <c r="U79" i="1"/>
  <c r="X80" i="1"/>
  <c r="V80" i="1"/>
  <c r="U80" i="1"/>
  <c r="X81" i="1"/>
  <c r="V81" i="1"/>
  <c r="U81" i="1"/>
  <c r="X82" i="1"/>
  <c r="V82" i="1"/>
  <c r="U82" i="1"/>
  <c r="X83" i="1"/>
  <c r="V83" i="1"/>
  <c r="U83" i="1"/>
  <c r="X84" i="1"/>
  <c r="V84" i="1"/>
  <c r="U84" i="1"/>
  <c r="X85" i="1"/>
  <c r="V85" i="1"/>
  <c r="U85" i="1"/>
  <c r="X86" i="1"/>
  <c r="V86" i="1"/>
  <c r="U86" i="1"/>
  <c r="X87" i="1"/>
  <c r="V87" i="1"/>
  <c r="U87" i="1"/>
  <c r="X88" i="1"/>
  <c r="V88" i="1"/>
  <c r="U88" i="1"/>
  <c r="X89" i="1"/>
  <c r="V89" i="1"/>
  <c r="U89" i="1"/>
  <c r="X90" i="1"/>
  <c r="V90" i="1"/>
  <c r="U90" i="1"/>
  <c r="X91" i="1"/>
  <c r="V91" i="1"/>
  <c r="U91" i="1"/>
  <c r="X92" i="1"/>
  <c r="V92" i="1"/>
  <c r="U92" i="1"/>
  <c r="X93" i="1"/>
  <c r="V93" i="1"/>
  <c r="U93" i="1"/>
  <c r="X94" i="1"/>
  <c r="V94" i="1"/>
  <c r="U94" i="1"/>
  <c r="X95" i="1"/>
  <c r="V95" i="1"/>
  <c r="U95" i="1"/>
  <c r="X96" i="1"/>
  <c r="V96" i="1"/>
  <c r="U96" i="1"/>
  <c r="X97" i="1"/>
  <c r="V97" i="1"/>
  <c r="U97" i="1"/>
  <c r="X98" i="1"/>
  <c r="V98" i="1"/>
  <c r="U98" i="1"/>
  <c r="X99" i="1"/>
  <c r="V99" i="1"/>
  <c r="U99" i="1"/>
  <c r="X100" i="1"/>
  <c r="V100" i="1"/>
  <c r="U100" i="1"/>
  <c r="X101" i="1"/>
  <c r="V101" i="1"/>
  <c r="U101" i="1"/>
  <c r="X2" i="1"/>
  <c r="V2" i="1"/>
  <c r="U2" i="1"/>
  <c r="W2" i="1" l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</calcChain>
</file>

<file path=xl/sharedStrings.xml><?xml version="1.0" encoding="utf-8"?>
<sst xmlns="http://schemas.openxmlformats.org/spreadsheetml/2006/main" count="223" uniqueCount="179">
  <si>
    <t>User_ID</t>
  </si>
  <si>
    <t>Mood_Score</t>
  </si>
  <si>
    <t>Sleep_Duration</t>
  </si>
  <si>
    <t>Sleep_Quality</t>
  </si>
  <si>
    <t>Sleep_Disturbance</t>
  </si>
  <si>
    <t>Morning_Freshness</t>
  </si>
  <si>
    <t>Stress_A</t>
  </si>
  <si>
    <t>Stress_B</t>
  </si>
  <si>
    <t>Stress_C</t>
  </si>
  <si>
    <t>Stress_D</t>
  </si>
  <si>
    <t>Stress_E</t>
  </si>
  <si>
    <t>Physical_Activity_Score</t>
  </si>
  <si>
    <t>Focus_Q1</t>
  </si>
  <si>
    <t>Focus_Q2</t>
  </si>
  <si>
    <t>Focus_Q3</t>
  </si>
  <si>
    <t>Focus_Q4</t>
  </si>
  <si>
    <t>Sleep_Score</t>
  </si>
  <si>
    <t>Stress_Score</t>
  </si>
  <si>
    <t>Focus_Total</t>
  </si>
  <si>
    <t>Focus_Index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</si>
  <si>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</si>
  <si>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</si>
  <si>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</si>
  <si>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</si>
  <si>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</si>
  <si>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</si>
  <si>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</si>
  <si>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</si>
  <si>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</si>
  <si>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</si>
  <si>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</si>
  <si>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</si>
  <si>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</si>
  <si>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</si>
  <si>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</si>
  <si>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</si>
  <si>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</si>
  <si>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</si>
  <si>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</si>
  <si>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</si>
  <si>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</si>
  <si>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</si>
  <si>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</si>
  <si>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</si>
  <si>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</si>
  <si>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</si>
  <si>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</si>
  <si>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</si>
  <si>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</si>
  <si>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</si>
  <si>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</si>
  <si>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</si>
  <si>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</si>
  <si>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</si>
  <si>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</si>
  <si>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</si>
  <si>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</si>
  <si>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</si>
  <si>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</si>
  <si>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</si>
  <si>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</si>
  <si>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</si>
  <si>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</si>
  <si>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</si>
  <si>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</si>
  <si>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</si>
  <si>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</si>
  <si>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</si>
  <si>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</si>
  <si>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</si>
  <si>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</si>
  <si>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</si>
  <si>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</si>
  <si>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</si>
  <si>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</si>
  <si>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</si>
  <si>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</si>
  <si>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</si>
  <si>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</si>
  <si>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</si>
  <si>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</si>
  <si>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</si>
  <si>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</si>
  <si>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</si>
  <si>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</si>
  <si>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</si>
  <si>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</si>
  <si>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</si>
  <si>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</si>
  <si>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</si>
  <si>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</si>
  <si>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</si>
  <si>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</si>
  <si>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</si>
  <si>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</si>
  <si>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</si>
  <si>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</si>
  <si>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</si>
  <si>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</si>
  <si>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</si>
  <si>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</si>
  <si>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</si>
  <si>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</si>
  <si>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</si>
  <si>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</si>
  <si>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</si>
  <si>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</si>
  <si>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</si>
  <si>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</si>
  <si>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</si>
  <si>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</si>
  <si>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</si>
  <si>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</si>
  <si>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</si>
  <si>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</si>
  <si>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</si>
  <si>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</si>
  <si>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</si>
  <si>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</si>
  <si>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</si>
  <si>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WES</t>
  </si>
  <si>
    <t>EEI</t>
  </si>
  <si>
    <t>MES</t>
  </si>
  <si>
    <t>BRS</t>
  </si>
  <si>
    <t>Avg WES</t>
  </si>
  <si>
    <t>Avg MES</t>
  </si>
  <si>
    <t>Avg EEI</t>
  </si>
  <si>
    <t>Avg BRS</t>
  </si>
  <si>
    <t>% High Burnout users</t>
  </si>
  <si>
    <t>Insights from Wellness Data Analysis</t>
  </si>
  <si>
    <t xml:space="preserve"> Average WES is around 49, indicating mild fatigue among most users.</t>
  </si>
  <si>
    <t xml:space="preserve"> MES (53) is higher than WES, suggesting recent decline in energy levels.</t>
  </si>
  <si>
    <t>Average EEI (~50) indicates borderline energy depletion.</t>
  </si>
  <si>
    <t>Low physical activity and high stress are associated with higher burnout risk.</t>
  </si>
  <si>
    <t xml:space="preserve"> Around 7% users fall under high burnout risk category.</t>
  </si>
  <si>
    <t xml:space="preserve"> Average BRS (~45) shows moderate burnout risk.</t>
  </si>
  <si>
    <t>Overall, users show moderate energy levels with emerging burnout risk, requiring preventive interventions.</t>
  </si>
  <si>
    <t>Column Name</t>
  </si>
  <si>
    <t>Description</t>
  </si>
  <si>
    <t>Range</t>
  </si>
  <si>
    <t>Unique identifier for each user</t>
  </si>
  <si>
    <t>Text</t>
  </si>
  <si>
    <t>User’s emotional state score</t>
  </si>
  <si>
    <t>0–100</t>
  </si>
  <si>
    <t>Sleep duration score</t>
  </si>
  <si>
    <t>Quality of sleep</t>
  </si>
  <si>
    <t>Disturbance during sleep</t>
  </si>
  <si>
    <t>How fresh user feels in morning</t>
  </si>
  <si>
    <t>Stress factor A</t>
  </si>
  <si>
    <t>Stress factor B</t>
  </si>
  <si>
    <t>Stress factor C</t>
  </si>
  <si>
    <t>Stress factor D</t>
  </si>
  <si>
    <t>Stress factor E</t>
  </si>
  <si>
    <t>Activity level in last 7 days</t>
  </si>
  <si>
    <t>0–20</t>
  </si>
  <si>
    <t>Focus_Q1–Q4</t>
  </si>
  <si>
    <t>Focus-related questions</t>
  </si>
  <si>
    <t>1–5</t>
  </si>
  <si>
    <t>Weighted sleep index</t>
  </si>
  <si>
    <t>Weighted stress index</t>
  </si>
  <si>
    <t>Converted focus score</t>
  </si>
  <si>
    <t>Weekly Energy Score</t>
  </si>
  <si>
    <t>Monthly Energy Score</t>
  </si>
  <si>
    <t>Employee Energy Index</t>
  </si>
  <si>
    <t>Burnout Risk Score</t>
  </si>
  <si>
    <t>MA</t>
  </si>
  <si>
    <t>PES</t>
  </si>
  <si>
    <t>ASI</t>
  </si>
  <si>
    <t>Sustainability</t>
  </si>
  <si>
    <t>ARS</t>
  </si>
  <si>
    <t>Metric</t>
  </si>
  <si>
    <t>Value</t>
  </si>
  <si>
    <t>Avg MA</t>
  </si>
  <si>
    <t>Avg PES</t>
  </si>
  <si>
    <t>Avg ASI</t>
  </si>
  <si>
    <t>Avg Sustainability</t>
  </si>
  <si>
    <t>Avg ARS</t>
  </si>
  <si>
    <t>Avg Twi</t>
  </si>
  <si>
    <t>Twi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</si>
</sst>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5" fillId="4" borderId="1" xfId="0" applyFont="1" applyFill="1" applyBorder="1"/>
    <xf numFmtId="0" fontId="5" fillId="2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3" fillId="9" borderId="1" xfId="0" applyFont="1" applyFill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10" fontId="7" fillId="0" borderId="1" xfId="1" applyNumberFormat="1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"/>
  <sheetViews>
    <sheetView tabSelected="1" topLeftCell="S1" workbookViewId="0">
      <selection activeCell="AC2" sqref="AC2"/>
    </sheetView>
  </sheetViews>
  <sheetFormatPr defaultRowHeight="14.4" x14ac:dyDescent="0.3"/>
  <cols>
    <col min="1" max="1" width="8.88671875" style="1"/>
    <col min="2" max="2" width="11.109375" style="1" customWidth="1"/>
    <col min="3" max="3" width="13.33203125" style="1" customWidth="1"/>
    <col min="4" max="4" width="11.88671875" style="1" customWidth="1"/>
    <col min="5" max="5" width="15.88671875" style="1" customWidth="1"/>
    <col min="6" max="6" width="16.21875" style="1" customWidth="1"/>
    <col min="7" max="11" width="8.88671875" style="1"/>
    <col min="12" max="12" width="19.88671875" style="1" customWidth="1"/>
    <col min="13" max="15" width="8.88671875" style="1"/>
    <col min="16" max="16" width="8.88671875" style="1" customWidth="1"/>
    <col min="17" max="17" width="12.109375" style="1" customWidth="1"/>
    <col min="18" max="18" width="11.88671875" style="1" customWidth="1"/>
    <col min="19" max="19" width="13.109375" style="1" customWidth="1"/>
    <col min="20" max="20" width="11.6640625" style="1" customWidth="1"/>
    <col min="21" max="23" width="8.88671875" style="1"/>
    <col min="28" max="28" width="12.109375" customWidth="1"/>
  </cols>
  <sheetData>
    <row r="1" spans="1:3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120</v>
      </c>
      <c r="V1" s="2" t="s">
        <v>122</v>
      </c>
      <c r="W1" s="2" t="s">
        <v>121</v>
      </c>
      <c r="X1" s="2" t="s">
        <v>123</v>
      </c>
      <c r="Y1" s="22" t="s">
        <v>165</v>
      </c>
      <c r="Z1" s="22" t="s">
        <v>166</v>
      </c>
      <c r="AA1" s="22" t="s">
        <v>167</v>
      </c>
      <c r="AB1" s="22" t="s">
        <v>168</v>
      </c>
      <c r="AC1" s="22" t="s">
        <v>169</v>
      </c>
      <c r="AD1" s="27" t="s">
        <v>178</v>
      </c>
    </row>
    <row r="2" spans="1:30" x14ac:dyDescent="0.3">
      <c r="A2" s="3" t="s">
        <v>20</v>
      </c>
      <c r="B2" s="3">
        <v>42</v>
      </c>
      <c r="C2" s="3">
        <v>72</v>
      </c>
      <c r="D2" s="3">
        <v>96</v>
      </c>
      <c r="E2" s="3">
        <v>98</v>
      </c>
      <c r="F2" s="3">
        <v>65</v>
      </c>
      <c r="G2" s="3">
        <v>86</v>
      </c>
      <c r="H2" s="3">
        <v>74</v>
      </c>
      <c r="I2" s="3">
        <v>30</v>
      </c>
      <c r="J2" s="3">
        <v>40</v>
      </c>
      <c r="K2" s="3">
        <v>63</v>
      </c>
      <c r="L2" s="3">
        <v>0</v>
      </c>
      <c r="M2" s="3">
        <v>3</v>
      </c>
      <c r="N2" s="3">
        <v>2</v>
      </c>
      <c r="O2" s="3">
        <v>2</v>
      </c>
      <c r="P2" s="3">
        <v>5</v>
      </c>
      <c r="Q2" s="3">
        <f>0.35*C2+0.3*D2+0.2*E2+0.15*F2</f>
        <v>83.35</v>
      </c>
      <c r="R2" s="3">
        <f>0.3*G2+0.25*H2+0.2*I2+0.15*J2+0.1*K2</f>
        <v>62.599999999999994</v>
      </c>
      <c r="S2" s="3">
        <f t="shared" ref="S2:S33" si="0">M2+N2+O2+P2</f>
        <v>12</v>
      </c>
      <c r="T2" s="3">
        <f t="shared" ref="T2:T33" si="1">(S2/20)*100</f>
        <v>60</v>
      </c>
      <c r="U2" s="4">
        <f>(0.6*Q2 + 0.4*(L2*5) + (100 - R2)) / 2</f>
        <v>43.704999999999998</v>
      </c>
      <c r="V2" s="4">
        <f>(Q2 + (100 - R2) + T2 + B2) / 4</f>
        <v>55.6875</v>
      </c>
      <c r="W2" s="4">
        <f>0.2*V2 + 0.8*U2</f>
        <v>46.101500000000001</v>
      </c>
      <c r="X2" s="4">
        <f>0.3*(100-Q2) + 0.3*(100-B2) + 0.25*(100-T2) + 0.15*(100-T2)</f>
        <v>38.394999999999996</v>
      </c>
      <c r="Y2" s="21">
        <f>0.4*T2 + 0.35*B2 + 0.25*U2</f>
        <v>49.626249999999999</v>
      </c>
      <c r="Z2" s="4">
        <f>(B2 + T2 + (100-R2)) / 3</f>
        <v>46.466666666666669</v>
      </c>
      <c r="AA2" s="21">
        <f>(U2+V2+W2)/3</f>
        <v>48.497999999999998</v>
      </c>
      <c r="AB2" s="4">
        <f>0.2*W2 + 0.2*Z2 + 0.2*(100-R2) + 0.15*(100-X2) + 0.15*U2 + 0.1*AD2</f>
        <v>46.807688333333331</v>
      </c>
      <c r="AC2" s="21">
        <f>0.4*(100-W2) + 0.3*X2 + 0.2*(100-V2) + 0.1*(100-U2)</f>
        <v>47.569899999999997</v>
      </c>
      <c r="AD2" s="21">
        <f>0.5*V2 + 0.3*U2 + 0.2*W2</f>
        <v>50.175550000000001</v>
      </c>
    </row>
    <row r="3" spans="1:30" x14ac:dyDescent="0.3">
      <c r="A3" s="3" t="s">
        <v>21</v>
      </c>
      <c r="B3" s="3">
        <v>100</v>
      </c>
      <c r="C3" s="3">
        <v>6</v>
      </c>
      <c r="D3" s="3">
        <v>58</v>
      </c>
      <c r="E3" s="3">
        <v>16</v>
      </c>
      <c r="F3" s="3">
        <v>4</v>
      </c>
      <c r="G3" s="3">
        <v>62</v>
      </c>
      <c r="H3" s="3">
        <v>66</v>
      </c>
      <c r="I3" s="3">
        <v>61</v>
      </c>
      <c r="J3" s="3">
        <v>7</v>
      </c>
      <c r="K3" s="3">
        <v>97</v>
      </c>
      <c r="L3" s="3">
        <v>5</v>
      </c>
      <c r="M3" s="3">
        <v>1</v>
      </c>
      <c r="N3" s="3">
        <v>3</v>
      </c>
      <c r="O3" s="3">
        <v>1</v>
      </c>
      <c r="P3" s="3">
        <v>2</v>
      </c>
      <c r="Q3" s="3">
        <f t="shared" ref="Q3:Q33" si="2">0.35*C3+0.3*D3+0.2*E3+0.15*F3</f>
        <v>23.3</v>
      </c>
      <c r="R3" s="3">
        <f t="shared" ref="R3:R33" si="3">0.3*G3+0.25*H3+0.2*I3+0.15*J3+0.1*K3</f>
        <v>58.05</v>
      </c>
      <c r="S3" s="3">
        <f t="shared" si="0"/>
        <v>7</v>
      </c>
      <c r="T3" s="3">
        <f t="shared" si="1"/>
        <v>35</v>
      </c>
      <c r="U3" s="4">
        <f t="shared" ref="U3:U66" si="4">(0.6*Q3 + 0.4*(L3*5) + (100 - R3)) / 2</f>
        <v>32.965000000000003</v>
      </c>
      <c r="V3" s="4">
        <f t="shared" ref="V3:V66" si="5">(Q3 + (100 - R3) + T3 + B3) / 4</f>
        <v>50.0625</v>
      </c>
      <c r="W3" s="4">
        <f t="shared" ref="W3:W66" si="6">0.2*V3 + 0.8*U3</f>
        <v>36.384500000000003</v>
      </c>
      <c r="X3" s="4">
        <f t="shared" ref="X3:X66" si="7">0.3*(100-Q3) + 0.3*(100-B3) + 0.25*(100-T3) + 0.15*(100-T3)</f>
        <v>49.010000000000005</v>
      </c>
      <c r="Y3" s="21">
        <f t="shared" ref="Y3:Y66" si="8">0.4*T3 + 0.35*B3 + 0.25*U3</f>
        <v>57.241250000000001</v>
      </c>
      <c r="Z3" s="4">
        <f t="shared" ref="Z3:Z66" si="9">(B3 + T3 + (100-R3)) / 3</f>
        <v>58.983333333333327</v>
      </c>
      <c r="AA3" s="21">
        <f t="shared" ref="AA3:AA66" si="10">(U3+V3+W3)/3</f>
        <v>39.804000000000002</v>
      </c>
      <c r="AB3" s="4">
        <f t="shared" ref="AB3:AB66" si="11">0.2*W3 + 0.2*Z3 + 0.2*(100-R3) + 0.15*(100-X3) + 0.15*U3 + 0.1*AD3</f>
        <v>44.276581666666665</v>
      </c>
      <c r="AC3" s="21">
        <f t="shared" ref="AC3:AC66" si="12">0.4*(100-W3) + 0.3*X3 + 0.2*(100-V3) + 0.1*(100-U3)</f>
        <v>56.840200000000003</v>
      </c>
      <c r="AD3" s="21">
        <f t="shared" ref="AD3:AD66" si="13">0.5*V3 + 0.3*U3 + 0.2*W3</f>
        <v>42.197649999999996</v>
      </c>
    </row>
    <row r="4" spans="1:30" x14ac:dyDescent="0.3">
      <c r="A4" s="3" t="s">
        <v>22</v>
      </c>
      <c r="B4" s="3">
        <v>51</v>
      </c>
      <c r="C4" s="3">
        <v>5</v>
      </c>
      <c r="D4" s="3">
        <v>83</v>
      </c>
      <c r="E4" s="3">
        <v>88</v>
      </c>
      <c r="F4" s="3">
        <v>20</v>
      </c>
      <c r="G4" s="3">
        <v>72</v>
      </c>
      <c r="H4" s="3">
        <v>6</v>
      </c>
      <c r="I4" s="3">
        <v>36</v>
      </c>
      <c r="J4" s="3">
        <v>13</v>
      </c>
      <c r="K4" s="3">
        <v>93</v>
      </c>
      <c r="L4" s="3">
        <v>13</v>
      </c>
      <c r="M4" s="3">
        <v>1</v>
      </c>
      <c r="N4" s="3">
        <v>5</v>
      </c>
      <c r="O4" s="3">
        <v>5</v>
      </c>
      <c r="P4" s="3">
        <v>5</v>
      </c>
      <c r="Q4" s="3">
        <f t="shared" si="2"/>
        <v>47.25</v>
      </c>
      <c r="R4" s="3">
        <f>0.3*G4+0.25*H4+0.2*I4+0.15*J4+0.1*K4</f>
        <v>41.55</v>
      </c>
      <c r="S4" s="3">
        <f t="shared" si="0"/>
        <v>16</v>
      </c>
      <c r="T4" s="3">
        <f t="shared" si="1"/>
        <v>80</v>
      </c>
      <c r="U4" s="4">
        <f t="shared" si="4"/>
        <v>56.4</v>
      </c>
      <c r="V4" s="4">
        <f t="shared" si="5"/>
        <v>59.174999999999997</v>
      </c>
      <c r="W4" s="4">
        <f t="shared" si="6"/>
        <v>56.955000000000005</v>
      </c>
      <c r="X4" s="4">
        <f t="shared" si="7"/>
        <v>38.524999999999999</v>
      </c>
      <c r="Y4" s="21">
        <f t="shared" si="8"/>
        <v>63.949999999999996</v>
      </c>
      <c r="Z4" s="4">
        <f t="shared" si="9"/>
        <v>63.15</v>
      </c>
      <c r="AA4" s="21">
        <f t="shared" si="10"/>
        <v>57.51</v>
      </c>
      <c r="AB4" s="4">
        <f t="shared" si="11"/>
        <v>59.182099999999998</v>
      </c>
      <c r="AC4" s="21">
        <f t="shared" si="12"/>
        <v>41.3005</v>
      </c>
      <c r="AD4" s="21">
        <f t="shared" si="13"/>
        <v>57.898499999999999</v>
      </c>
    </row>
    <row r="5" spans="1:30" x14ac:dyDescent="0.3">
      <c r="A5" s="3" t="s">
        <v>23</v>
      </c>
      <c r="B5" s="3">
        <v>52</v>
      </c>
      <c r="C5" s="3">
        <v>56</v>
      </c>
      <c r="D5" s="3">
        <v>81</v>
      </c>
      <c r="E5" s="3">
        <v>89</v>
      </c>
      <c r="F5" s="3">
        <v>85</v>
      </c>
      <c r="G5" s="3">
        <v>58</v>
      </c>
      <c r="H5" s="3">
        <v>24</v>
      </c>
      <c r="I5" s="3">
        <v>91</v>
      </c>
      <c r="J5" s="3">
        <v>43</v>
      </c>
      <c r="K5" s="3">
        <v>63</v>
      </c>
      <c r="L5" s="3">
        <v>11</v>
      </c>
      <c r="M5" s="3">
        <v>3</v>
      </c>
      <c r="N5" s="3">
        <v>3</v>
      </c>
      <c r="O5" s="3">
        <v>2</v>
      </c>
      <c r="P5" s="3">
        <v>2</v>
      </c>
      <c r="Q5" s="3">
        <f t="shared" si="2"/>
        <v>74.45</v>
      </c>
      <c r="R5" s="3">
        <f t="shared" si="3"/>
        <v>54.349999999999994</v>
      </c>
      <c r="S5" s="3">
        <f t="shared" si="0"/>
        <v>10</v>
      </c>
      <c r="T5" s="3">
        <f t="shared" si="1"/>
        <v>50</v>
      </c>
      <c r="U5" s="4">
        <f t="shared" si="4"/>
        <v>56.160000000000004</v>
      </c>
      <c r="V5" s="4">
        <f t="shared" si="5"/>
        <v>55.525000000000006</v>
      </c>
      <c r="W5" s="4">
        <f t="shared" si="6"/>
        <v>56.033000000000008</v>
      </c>
      <c r="X5" s="4">
        <f t="shared" si="7"/>
        <v>42.064999999999998</v>
      </c>
      <c r="Y5" s="21">
        <f t="shared" si="8"/>
        <v>52.24</v>
      </c>
      <c r="Z5" s="4">
        <f t="shared" si="9"/>
        <v>49.216666666666669</v>
      </c>
      <c r="AA5" s="21">
        <f t="shared" si="10"/>
        <v>55.906000000000006</v>
      </c>
      <c r="AB5" s="4">
        <f t="shared" si="11"/>
        <v>52.875893333333337</v>
      </c>
      <c r="AC5" s="21">
        <f t="shared" si="12"/>
        <v>43.485299999999995</v>
      </c>
      <c r="AD5" s="21">
        <f t="shared" si="13"/>
        <v>55.817100000000003</v>
      </c>
    </row>
    <row r="6" spans="1:30" x14ac:dyDescent="0.3">
      <c r="A6" s="3" t="s">
        <v>24</v>
      </c>
      <c r="B6" s="3">
        <v>41</v>
      </c>
      <c r="C6" s="3">
        <v>73</v>
      </c>
      <c r="D6" s="3">
        <v>46</v>
      </c>
      <c r="E6" s="3">
        <v>33</v>
      </c>
      <c r="F6" s="3">
        <v>9</v>
      </c>
      <c r="G6" s="3">
        <v>5</v>
      </c>
      <c r="H6" s="3">
        <v>63</v>
      </c>
      <c r="I6" s="3">
        <v>49</v>
      </c>
      <c r="J6" s="3">
        <v>5</v>
      </c>
      <c r="K6" s="3">
        <v>47</v>
      </c>
      <c r="L6" s="3">
        <v>14</v>
      </c>
      <c r="M6" s="3">
        <v>2</v>
      </c>
      <c r="N6" s="3">
        <v>5</v>
      </c>
      <c r="O6" s="3">
        <v>4</v>
      </c>
      <c r="P6" s="3">
        <v>2</v>
      </c>
      <c r="Q6" s="3">
        <f t="shared" si="2"/>
        <v>47.3</v>
      </c>
      <c r="R6" s="3">
        <f t="shared" si="3"/>
        <v>32.5</v>
      </c>
      <c r="S6" s="3">
        <f t="shared" si="0"/>
        <v>13</v>
      </c>
      <c r="T6" s="3">
        <f t="shared" si="1"/>
        <v>65</v>
      </c>
      <c r="U6" s="4">
        <f t="shared" si="4"/>
        <v>61.94</v>
      </c>
      <c r="V6" s="4">
        <f t="shared" si="5"/>
        <v>55.2</v>
      </c>
      <c r="W6" s="4">
        <f t="shared" si="6"/>
        <v>60.591999999999999</v>
      </c>
      <c r="X6" s="4">
        <f t="shared" si="7"/>
        <v>47.51</v>
      </c>
      <c r="Y6" s="21">
        <f t="shared" si="8"/>
        <v>55.835000000000001</v>
      </c>
      <c r="Z6" s="4">
        <f t="shared" si="9"/>
        <v>57.833333333333336</v>
      </c>
      <c r="AA6" s="21">
        <f t="shared" si="10"/>
        <v>59.244</v>
      </c>
      <c r="AB6" s="4">
        <f t="shared" si="11"/>
        <v>60.179606666666672</v>
      </c>
      <c r="AC6" s="21">
        <f t="shared" si="12"/>
        <v>42.782199999999996</v>
      </c>
      <c r="AD6" s="21">
        <f t="shared" si="13"/>
        <v>58.300400000000003</v>
      </c>
    </row>
    <row r="7" spans="1:30" x14ac:dyDescent="0.3">
      <c r="A7" s="3" t="s">
        <v>25</v>
      </c>
      <c r="B7" s="3">
        <v>70</v>
      </c>
      <c r="C7" s="3">
        <v>88</v>
      </c>
      <c r="D7" s="3">
        <v>24</v>
      </c>
      <c r="E7" s="3">
        <v>8</v>
      </c>
      <c r="F7" s="3">
        <v>95</v>
      </c>
      <c r="G7" s="3">
        <v>25</v>
      </c>
      <c r="H7" s="3">
        <v>57</v>
      </c>
      <c r="I7" s="3">
        <v>17</v>
      </c>
      <c r="J7" s="3">
        <v>84</v>
      </c>
      <c r="K7" s="3">
        <v>86</v>
      </c>
      <c r="L7" s="3">
        <v>14</v>
      </c>
      <c r="M7" s="3">
        <v>2</v>
      </c>
      <c r="N7" s="3">
        <v>2</v>
      </c>
      <c r="O7" s="3">
        <v>5</v>
      </c>
      <c r="P7" s="3">
        <v>1</v>
      </c>
      <c r="Q7" s="3">
        <f t="shared" si="2"/>
        <v>53.85</v>
      </c>
      <c r="R7" s="3">
        <f t="shared" si="3"/>
        <v>46.35</v>
      </c>
      <c r="S7" s="3">
        <f t="shared" si="0"/>
        <v>10</v>
      </c>
      <c r="T7" s="3">
        <f t="shared" si="1"/>
        <v>50</v>
      </c>
      <c r="U7" s="4">
        <f t="shared" si="4"/>
        <v>56.980000000000004</v>
      </c>
      <c r="V7" s="4">
        <f t="shared" si="5"/>
        <v>56.875</v>
      </c>
      <c r="W7" s="4">
        <f t="shared" si="6"/>
        <v>56.959000000000003</v>
      </c>
      <c r="X7" s="4">
        <f t="shared" si="7"/>
        <v>42.844999999999999</v>
      </c>
      <c r="Y7" s="21">
        <f t="shared" si="8"/>
        <v>58.745000000000005</v>
      </c>
      <c r="Z7" s="4">
        <f t="shared" si="9"/>
        <v>57.883333333333333</v>
      </c>
      <c r="AA7" s="21">
        <f t="shared" si="10"/>
        <v>56.938000000000009</v>
      </c>
      <c r="AB7" s="4">
        <f t="shared" si="11"/>
        <v>56.511046666666672</v>
      </c>
      <c r="AC7" s="21">
        <f t="shared" si="12"/>
        <v>42.996899999999997</v>
      </c>
      <c r="AD7" s="21">
        <f t="shared" si="13"/>
        <v>56.923300000000005</v>
      </c>
    </row>
    <row r="8" spans="1:30" x14ac:dyDescent="0.3">
      <c r="A8" s="3" t="s">
        <v>26</v>
      </c>
      <c r="B8" s="3">
        <v>22</v>
      </c>
      <c r="C8" s="3">
        <v>1</v>
      </c>
      <c r="D8" s="3">
        <v>47</v>
      </c>
      <c r="E8" s="3">
        <v>12</v>
      </c>
      <c r="F8" s="3">
        <v>88</v>
      </c>
      <c r="G8" s="3">
        <v>77</v>
      </c>
      <c r="H8" s="3">
        <v>23</v>
      </c>
      <c r="I8" s="3">
        <v>4</v>
      </c>
      <c r="J8" s="3">
        <v>15</v>
      </c>
      <c r="K8" s="3">
        <v>59</v>
      </c>
      <c r="L8" s="3">
        <v>13</v>
      </c>
      <c r="M8" s="3">
        <v>4</v>
      </c>
      <c r="N8" s="3">
        <v>5</v>
      </c>
      <c r="O8" s="3">
        <v>2</v>
      </c>
      <c r="P8" s="3">
        <v>4</v>
      </c>
      <c r="Q8" s="3">
        <f t="shared" si="2"/>
        <v>30.05</v>
      </c>
      <c r="R8" s="3">
        <f t="shared" si="3"/>
        <v>37.799999999999997</v>
      </c>
      <c r="S8" s="3">
        <f t="shared" si="0"/>
        <v>15</v>
      </c>
      <c r="T8" s="3">
        <f t="shared" si="1"/>
        <v>75</v>
      </c>
      <c r="U8" s="4">
        <f t="shared" si="4"/>
        <v>53.115000000000002</v>
      </c>
      <c r="V8" s="4">
        <f t="shared" si="5"/>
        <v>47.3125</v>
      </c>
      <c r="W8" s="4">
        <f t="shared" si="6"/>
        <v>51.954500000000003</v>
      </c>
      <c r="X8" s="4">
        <f t="shared" si="7"/>
        <v>54.384999999999998</v>
      </c>
      <c r="Y8" s="21">
        <f t="shared" si="8"/>
        <v>50.978750000000005</v>
      </c>
      <c r="Z8" s="4">
        <f t="shared" si="9"/>
        <v>53.066666666666663</v>
      </c>
      <c r="AA8" s="21">
        <f t="shared" si="10"/>
        <v>50.794000000000004</v>
      </c>
      <c r="AB8" s="4">
        <f t="shared" si="11"/>
        <v>53.251898333333337</v>
      </c>
      <c r="AC8" s="21">
        <f t="shared" si="12"/>
        <v>50.759699999999995</v>
      </c>
      <c r="AD8" s="21">
        <f t="shared" si="13"/>
        <v>49.981650000000002</v>
      </c>
    </row>
    <row r="9" spans="1:30" x14ac:dyDescent="0.3">
      <c r="A9" s="3" t="s">
        <v>27</v>
      </c>
      <c r="B9" s="3">
        <v>0</v>
      </c>
      <c r="C9" s="3">
        <v>67</v>
      </c>
      <c r="D9" s="3">
        <v>11</v>
      </c>
      <c r="E9" s="3">
        <v>83</v>
      </c>
      <c r="F9" s="3">
        <v>55</v>
      </c>
      <c r="G9" s="3">
        <v>35</v>
      </c>
      <c r="H9" s="3">
        <v>94</v>
      </c>
      <c r="I9" s="3">
        <v>56</v>
      </c>
      <c r="J9" s="3">
        <v>15</v>
      </c>
      <c r="K9" s="3">
        <v>73</v>
      </c>
      <c r="L9" s="3">
        <v>8</v>
      </c>
      <c r="M9" s="3">
        <v>1</v>
      </c>
      <c r="N9" s="3">
        <v>3</v>
      </c>
      <c r="O9" s="3">
        <v>3</v>
      </c>
      <c r="P9" s="3">
        <v>2</v>
      </c>
      <c r="Q9" s="3">
        <f t="shared" si="2"/>
        <v>51.6</v>
      </c>
      <c r="R9" s="3">
        <f t="shared" si="3"/>
        <v>54.75</v>
      </c>
      <c r="S9" s="3">
        <f t="shared" si="0"/>
        <v>9</v>
      </c>
      <c r="T9" s="3">
        <f t="shared" si="1"/>
        <v>45</v>
      </c>
      <c r="U9" s="4">
        <f t="shared" si="4"/>
        <v>46.105000000000004</v>
      </c>
      <c r="V9" s="4">
        <f t="shared" si="5"/>
        <v>35.462499999999999</v>
      </c>
      <c r="W9" s="4">
        <f t="shared" si="6"/>
        <v>43.976500000000009</v>
      </c>
      <c r="X9" s="4">
        <f t="shared" si="7"/>
        <v>66.52</v>
      </c>
      <c r="Y9" s="21">
        <f t="shared" si="8"/>
        <v>29.526250000000001</v>
      </c>
      <c r="Z9" s="4">
        <f t="shared" si="9"/>
        <v>30.083333333333332</v>
      </c>
      <c r="AA9" s="21">
        <f t="shared" si="10"/>
        <v>41.848000000000006</v>
      </c>
      <c r="AB9" s="4">
        <f t="shared" si="11"/>
        <v>39.835521666666679</v>
      </c>
      <c r="AC9" s="21">
        <f t="shared" si="12"/>
        <v>60.662399999999991</v>
      </c>
      <c r="AD9" s="21">
        <f t="shared" si="13"/>
        <v>40.358050000000006</v>
      </c>
    </row>
    <row r="10" spans="1:30" x14ac:dyDescent="0.3">
      <c r="A10" s="3" t="s">
        <v>28</v>
      </c>
      <c r="B10" s="3">
        <v>17</v>
      </c>
      <c r="C10" s="3">
        <v>47</v>
      </c>
      <c r="D10" s="3">
        <v>38</v>
      </c>
      <c r="E10" s="3">
        <v>34</v>
      </c>
      <c r="F10" s="3">
        <v>89</v>
      </c>
      <c r="G10" s="3">
        <v>59</v>
      </c>
      <c r="H10" s="3">
        <v>21</v>
      </c>
      <c r="I10" s="3">
        <v>67</v>
      </c>
      <c r="J10" s="3">
        <v>74</v>
      </c>
      <c r="K10" s="3">
        <v>47</v>
      </c>
      <c r="L10" s="3">
        <v>1</v>
      </c>
      <c r="M10" s="3">
        <v>2</v>
      </c>
      <c r="N10" s="3">
        <v>2</v>
      </c>
      <c r="O10" s="3">
        <v>1</v>
      </c>
      <c r="P10" s="3">
        <v>2</v>
      </c>
      <c r="Q10" s="3">
        <f t="shared" si="2"/>
        <v>48.000000000000007</v>
      </c>
      <c r="R10" s="3">
        <f t="shared" si="3"/>
        <v>52.150000000000006</v>
      </c>
      <c r="S10" s="3">
        <f t="shared" si="0"/>
        <v>7</v>
      </c>
      <c r="T10" s="3">
        <f t="shared" si="1"/>
        <v>35</v>
      </c>
      <c r="U10" s="4">
        <f t="shared" si="4"/>
        <v>39.325000000000003</v>
      </c>
      <c r="V10" s="4">
        <f t="shared" si="5"/>
        <v>36.962499999999999</v>
      </c>
      <c r="W10" s="4">
        <f t="shared" si="6"/>
        <v>38.852500000000006</v>
      </c>
      <c r="X10" s="4">
        <f t="shared" si="7"/>
        <v>66.5</v>
      </c>
      <c r="Y10" s="21">
        <f t="shared" si="8"/>
        <v>29.78125</v>
      </c>
      <c r="Z10" s="4">
        <f t="shared" si="9"/>
        <v>33.283333333333331</v>
      </c>
      <c r="AA10" s="21">
        <f t="shared" si="10"/>
        <v>38.380000000000003</v>
      </c>
      <c r="AB10" s="4">
        <f t="shared" si="11"/>
        <v>38.725841666666661</v>
      </c>
      <c r="AC10" s="21">
        <f t="shared" si="12"/>
        <v>63.084000000000003</v>
      </c>
      <c r="AD10" s="21">
        <f t="shared" si="13"/>
        <v>38.049250000000001</v>
      </c>
    </row>
    <row r="11" spans="1:30" x14ac:dyDescent="0.3">
      <c r="A11" s="3" t="s">
        <v>29</v>
      </c>
      <c r="B11" s="3">
        <v>44</v>
      </c>
      <c r="C11" s="3">
        <v>42</v>
      </c>
      <c r="D11" s="3">
        <v>15</v>
      </c>
      <c r="E11" s="3">
        <v>82</v>
      </c>
      <c r="F11" s="3">
        <v>35</v>
      </c>
      <c r="G11" s="3">
        <v>61</v>
      </c>
      <c r="H11" s="3">
        <v>77</v>
      </c>
      <c r="I11" s="3">
        <v>31</v>
      </c>
      <c r="J11" s="3">
        <v>50</v>
      </c>
      <c r="K11" s="3">
        <v>83</v>
      </c>
      <c r="L11" s="3">
        <v>2</v>
      </c>
      <c r="M11" s="3">
        <v>2</v>
      </c>
      <c r="N11" s="3">
        <v>4</v>
      </c>
      <c r="O11" s="3">
        <v>5</v>
      </c>
      <c r="P11" s="3">
        <v>3</v>
      </c>
      <c r="Q11" s="3">
        <f t="shared" si="2"/>
        <v>40.85</v>
      </c>
      <c r="R11" s="3">
        <f t="shared" si="3"/>
        <v>59.55</v>
      </c>
      <c r="S11" s="3">
        <f t="shared" si="0"/>
        <v>14</v>
      </c>
      <c r="T11" s="3">
        <f t="shared" si="1"/>
        <v>70</v>
      </c>
      <c r="U11" s="4">
        <f t="shared" si="4"/>
        <v>34.480000000000004</v>
      </c>
      <c r="V11" s="4">
        <f t="shared" si="5"/>
        <v>48.825000000000003</v>
      </c>
      <c r="W11" s="4">
        <f t="shared" si="6"/>
        <v>37.349000000000004</v>
      </c>
      <c r="X11" s="4">
        <f t="shared" si="7"/>
        <v>46.545000000000002</v>
      </c>
      <c r="Y11" s="21">
        <f t="shared" si="8"/>
        <v>52.019999999999996</v>
      </c>
      <c r="Z11" s="4">
        <f t="shared" si="9"/>
        <v>51.483333333333327</v>
      </c>
      <c r="AA11" s="21">
        <f t="shared" si="10"/>
        <v>40.218000000000004</v>
      </c>
      <c r="AB11" s="4">
        <f t="shared" si="11"/>
        <v>43.269346666666671</v>
      </c>
      <c r="AC11" s="21">
        <f t="shared" si="12"/>
        <v>55.810899999999997</v>
      </c>
      <c r="AD11" s="21">
        <f t="shared" si="13"/>
        <v>42.226300000000002</v>
      </c>
    </row>
    <row r="12" spans="1:30" x14ac:dyDescent="0.3">
      <c r="A12" s="3" t="s">
        <v>30</v>
      </c>
      <c r="B12" s="3">
        <v>94</v>
      </c>
      <c r="C12" s="3">
        <v>0</v>
      </c>
      <c r="D12" s="3">
        <v>47</v>
      </c>
      <c r="E12" s="3">
        <v>99</v>
      </c>
      <c r="F12" s="3">
        <v>78</v>
      </c>
      <c r="G12" s="3">
        <v>49</v>
      </c>
      <c r="H12" s="3">
        <v>29</v>
      </c>
      <c r="I12" s="3">
        <v>73</v>
      </c>
      <c r="J12" s="3">
        <v>36</v>
      </c>
      <c r="K12" s="3">
        <v>26</v>
      </c>
      <c r="L12" s="3">
        <v>3</v>
      </c>
      <c r="M12" s="3">
        <v>4</v>
      </c>
      <c r="N12" s="3">
        <v>4</v>
      </c>
      <c r="O12" s="3">
        <v>2</v>
      </c>
      <c r="P12" s="3">
        <v>3</v>
      </c>
      <c r="Q12" s="3">
        <f t="shared" si="2"/>
        <v>45.599999999999994</v>
      </c>
      <c r="R12" s="3">
        <f t="shared" si="3"/>
        <v>44.55</v>
      </c>
      <c r="S12" s="3">
        <f t="shared" si="0"/>
        <v>13</v>
      </c>
      <c r="T12" s="3">
        <f t="shared" si="1"/>
        <v>65</v>
      </c>
      <c r="U12" s="4">
        <f t="shared" si="4"/>
        <v>44.405000000000001</v>
      </c>
      <c r="V12" s="4">
        <f t="shared" si="5"/>
        <v>65.012500000000003</v>
      </c>
      <c r="W12" s="4">
        <f t="shared" si="6"/>
        <v>48.526499999999999</v>
      </c>
      <c r="X12" s="4">
        <f t="shared" si="7"/>
        <v>32.120000000000005</v>
      </c>
      <c r="Y12" s="21">
        <f t="shared" si="8"/>
        <v>70.001249999999999</v>
      </c>
      <c r="Z12" s="4">
        <f t="shared" si="9"/>
        <v>71.483333333333334</v>
      </c>
      <c r="AA12" s="21">
        <f t="shared" si="10"/>
        <v>52.648000000000003</v>
      </c>
      <c r="AB12" s="4">
        <f t="shared" si="11"/>
        <v>57.488021666666668</v>
      </c>
      <c r="AC12" s="21">
        <f t="shared" si="12"/>
        <v>42.782400000000003</v>
      </c>
      <c r="AD12" s="21">
        <f t="shared" si="13"/>
        <v>55.533050000000003</v>
      </c>
    </row>
    <row r="13" spans="1:30" x14ac:dyDescent="0.3">
      <c r="A13" s="3" t="s">
        <v>31</v>
      </c>
      <c r="B13" s="3">
        <v>6</v>
      </c>
      <c r="C13" s="3">
        <v>73</v>
      </c>
      <c r="D13" s="3">
        <v>81</v>
      </c>
      <c r="E13" s="3">
        <v>39</v>
      </c>
      <c r="F13" s="3">
        <v>98</v>
      </c>
      <c r="G13" s="3">
        <v>62</v>
      </c>
      <c r="H13" s="3">
        <v>46</v>
      </c>
      <c r="I13" s="3">
        <v>91</v>
      </c>
      <c r="J13" s="3">
        <v>30</v>
      </c>
      <c r="K13" s="3">
        <v>49</v>
      </c>
      <c r="L13" s="3">
        <v>5</v>
      </c>
      <c r="M13" s="3">
        <v>5</v>
      </c>
      <c r="N13" s="3">
        <v>5</v>
      </c>
      <c r="O13" s="3">
        <v>1</v>
      </c>
      <c r="P13" s="3">
        <v>4</v>
      </c>
      <c r="Q13" s="3">
        <f t="shared" si="2"/>
        <v>72.349999999999994</v>
      </c>
      <c r="R13" s="3">
        <f t="shared" si="3"/>
        <v>57.699999999999996</v>
      </c>
      <c r="S13" s="3">
        <f t="shared" si="0"/>
        <v>15</v>
      </c>
      <c r="T13" s="3">
        <f t="shared" si="1"/>
        <v>75</v>
      </c>
      <c r="U13" s="4">
        <f t="shared" si="4"/>
        <v>47.855000000000004</v>
      </c>
      <c r="V13" s="4">
        <f t="shared" si="5"/>
        <v>48.912500000000001</v>
      </c>
      <c r="W13" s="4">
        <f t="shared" si="6"/>
        <v>48.066500000000005</v>
      </c>
      <c r="X13" s="4">
        <f t="shared" si="7"/>
        <v>46.495000000000005</v>
      </c>
      <c r="Y13" s="21">
        <f t="shared" si="8"/>
        <v>44.063749999999999</v>
      </c>
      <c r="Z13" s="4">
        <f t="shared" si="9"/>
        <v>41.1</v>
      </c>
      <c r="AA13" s="21">
        <f t="shared" si="10"/>
        <v>48.277999999999999</v>
      </c>
      <c r="AB13" s="4">
        <f t="shared" si="11"/>
        <v>46.339905000000002</v>
      </c>
      <c r="AC13" s="21">
        <f t="shared" si="12"/>
        <v>50.1539</v>
      </c>
      <c r="AD13" s="21">
        <f t="shared" si="13"/>
        <v>48.426050000000004</v>
      </c>
    </row>
    <row r="14" spans="1:30" x14ac:dyDescent="0.3">
      <c r="A14" s="3" t="s">
        <v>32</v>
      </c>
      <c r="B14" s="3">
        <v>17</v>
      </c>
      <c r="C14" s="3">
        <v>99</v>
      </c>
      <c r="D14" s="3">
        <v>51</v>
      </c>
      <c r="E14" s="3">
        <v>62</v>
      </c>
      <c r="F14" s="3">
        <v>37</v>
      </c>
      <c r="G14" s="3">
        <v>15</v>
      </c>
      <c r="H14" s="3">
        <v>63</v>
      </c>
      <c r="I14" s="3">
        <v>34</v>
      </c>
      <c r="J14" s="3">
        <v>80</v>
      </c>
      <c r="K14" s="3">
        <v>4</v>
      </c>
      <c r="L14" s="3">
        <v>5</v>
      </c>
      <c r="M14" s="3">
        <v>3</v>
      </c>
      <c r="N14" s="3">
        <v>5</v>
      </c>
      <c r="O14" s="3">
        <v>3</v>
      </c>
      <c r="P14" s="3">
        <v>4</v>
      </c>
      <c r="Q14" s="3">
        <f t="shared" si="2"/>
        <v>67.899999999999991</v>
      </c>
      <c r="R14" s="3">
        <f t="shared" si="3"/>
        <v>39.449999999999996</v>
      </c>
      <c r="S14" s="3">
        <f t="shared" si="0"/>
        <v>15</v>
      </c>
      <c r="T14" s="3">
        <f t="shared" si="1"/>
        <v>75</v>
      </c>
      <c r="U14" s="4">
        <f t="shared" si="4"/>
        <v>55.644999999999996</v>
      </c>
      <c r="V14" s="4">
        <f t="shared" si="5"/>
        <v>55.112499999999997</v>
      </c>
      <c r="W14" s="4">
        <f t="shared" si="6"/>
        <v>55.538499999999999</v>
      </c>
      <c r="X14" s="4">
        <f t="shared" si="7"/>
        <v>44.53</v>
      </c>
      <c r="Y14" s="21">
        <f t="shared" si="8"/>
        <v>49.861249999999998</v>
      </c>
      <c r="Z14" s="4">
        <f t="shared" si="9"/>
        <v>50.85</v>
      </c>
      <c r="AA14" s="21">
        <f t="shared" si="10"/>
        <v>55.431999999999995</v>
      </c>
      <c r="AB14" s="4">
        <f t="shared" si="11"/>
        <v>55.590695000000004</v>
      </c>
      <c r="AC14" s="21">
        <f t="shared" si="12"/>
        <v>44.556599999999996</v>
      </c>
      <c r="AD14" s="21">
        <f t="shared" si="13"/>
        <v>55.357449999999993</v>
      </c>
    </row>
    <row r="15" spans="1:30" x14ac:dyDescent="0.3">
      <c r="A15" s="3" t="s">
        <v>33</v>
      </c>
      <c r="B15" s="3">
        <v>34</v>
      </c>
      <c r="C15" s="3">
        <v>51</v>
      </c>
      <c r="D15" s="3">
        <v>92</v>
      </c>
      <c r="E15" s="3">
        <v>45</v>
      </c>
      <c r="F15" s="3">
        <v>69</v>
      </c>
      <c r="G15" s="3">
        <v>44</v>
      </c>
      <c r="H15" s="3">
        <v>26</v>
      </c>
      <c r="I15" s="3">
        <v>52</v>
      </c>
      <c r="J15" s="3">
        <v>76</v>
      </c>
      <c r="K15" s="3">
        <v>3</v>
      </c>
      <c r="L15" s="3">
        <v>19</v>
      </c>
      <c r="M15" s="3">
        <v>5</v>
      </c>
      <c r="N15" s="3">
        <v>4</v>
      </c>
      <c r="O15" s="3">
        <v>1</v>
      </c>
      <c r="P15" s="3">
        <v>2</v>
      </c>
      <c r="Q15" s="3">
        <f t="shared" si="2"/>
        <v>64.8</v>
      </c>
      <c r="R15" s="3">
        <f t="shared" si="3"/>
        <v>41.8</v>
      </c>
      <c r="S15" s="3">
        <f t="shared" si="0"/>
        <v>12</v>
      </c>
      <c r="T15" s="3">
        <f t="shared" si="1"/>
        <v>60</v>
      </c>
      <c r="U15" s="4">
        <f t="shared" si="4"/>
        <v>67.539999999999992</v>
      </c>
      <c r="V15" s="4">
        <f t="shared" si="5"/>
        <v>54.25</v>
      </c>
      <c r="W15" s="4">
        <f t="shared" si="6"/>
        <v>64.882000000000005</v>
      </c>
      <c r="X15" s="4">
        <f t="shared" si="7"/>
        <v>46.36</v>
      </c>
      <c r="Y15" s="21">
        <f t="shared" si="8"/>
        <v>52.784999999999997</v>
      </c>
      <c r="Z15" s="4">
        <f t="shared" si="9"/>
        <v>50.733333333333327</v>
      </c>
      <c r="AA15" s="21">
        <f t="shared" si="10"/>
        <v>62.223999999999997</v>
      </c>
      <c r="AB15" s="4">
        <f t="shared" si="11"/>
        <v>58.976406666666669</v>
      </c>
      <c r="AC15" s="21">
        <f t="shared" si="12"/>
        <v>40.351199999999999</v>
      </c>
      <c r="AD15" s="21">
        <f t="shared" si="13"/>
        <v>60.363399999999999</v>
      </c>
    </row>
    <row r="16" spans="1:30" x14ac:dyDescent="0.3">
      <c r="A16" s="3" t="s">
        <v>34</v>
      </c>
      <c r="B16" s="3">
        <v>69</v>
      </c>
      <c r="C16" s="3">
        <v>24</v>
      </c>
      <c r="D16" s="3">
        <v>78</v>
      </c>
      <c r="E16" s="3">
        <v>87</v>
      </c>
      <c r="F16" s="3">
        <v>100</v>
      </c>
      <c r="G16" s="3">
        <v>60</v>
      </c>
      <c r="H16" s="3">
        <v>51</v>
      </c>
      <c r="I16" s="3">
        <v>43</v>
      </c>
      <c r="J16" s="3">
        <v>96</v>
      </c>
      <c r="K16" s="3">
        <v>91</v>
      </c>
      <c r="L16" s="3">
        <v>6</v>
      </c>
      <c r="M16" s="3">
        <v>1</v>
      </c>
      <c r="N16" s="3">
        <v>2</v>
      </c>
      <c r="O16" s="3">
        <v>5</v>
      </c>
      <c r="P16" s="3">
        <v>5</v>
      </c>
      <c r="Q16" s="3">
        <f t="shared" si="2"/>
        <v>64.2</v>
      </c>
      <c r="R16" s="3">
        <f t="shared" si="3"/>
        <v>62.85</v>
      </c>
      <c r="S16" s="3">
        <f t="shared" si="0"/>
        <v>13</v>
      </c>
      <c r="T16" s="3">
        <f t="shared" si="1"/>
        <v>65</v>
      </c>
      <c r="U16" s="4">
        <f t="shared" si="4"/>
        <v>43.835000000000001</v>
      </c>
      <c r="V16" s="4">
        <f t="shared" si="5"/>
        <v>58.837499999999999</v>
      </c>
      <c r="W16" s="4">
        <f t="shared" si="6"/>
        <v>46.835500000000003</v>
      </c>
      <c r="X16" s="4">
        <f t="shared" si="7"/>
        <v>34.04</v>
      </c>
      <c r="Y16" s="21">
        <f t="shared" si="8"/>
        <v>61.108750000000001</v>
      </c>
      <c r="Z16" s="4">
        <f t="shared" si="9"/>
        <v>57.050000000000004</v>
      </c>
      <c r="AA16" s="21">
        <f t="shared" si="10"/>
        <v>49.836000000000006</v>
      </c>
      <c r="AB16" s="4">
        <f t="shared" si="11"/>
        <v>49.869985</v>
      </c>
      <c r="AC16" s="21">
        <f t="shared" si="12"/>
        <v>45.326799999999999</v>
      </c>
      <c r="AD16" s="21">
        <f t="shared" si="13"/>
        <v>51.936349999999997</v>
      </c>
    </row>
    <row r="17" spans="1:30" x14ac:dyDescent="0.3">
      <c r="A17" s="3" t="s">
        <v>35</v>
      </c>
      <c r="B17" s="3">
        <v>51</v>
      </c>
      <c r="C17" s="3">
        <v>45</v>
      </c>
      <c r="D17" s="3">
        <v>43</v>
      </c>
      <c r="E17" s="3">
        <v>42</v>
      </c>
      <c r="F17" s="3">
        <v>73</v>
      </c>
      <c r="G17" s="3">
        <v>67</v>
      </c>
      <c r="H17" s="3">
        <v>31</v>
      </c>
      <c r="I17" s="3">
        <v>7</v>
      </c>
      <c r="J17" s="3">
        <v>10</v>
      </c>
      <c r="K17" s="3">
        <v>28</v>
      </c>
      <c r="L17" s="3">
        <v>16</v>
      </c>
      <c r="M17" s="3">
        <v>1</v>
      </c>
      <c r="N17" s="3">
        <v>4</v>
      </c>
      <c r="O17" s="3">
        <v>5</v>
      </c>
      <c r="P17" s="3">
        <v>3</v>
      </c>
      <c r="Q17" s="3">
        <f t="shared" si="2"/>
        <v>48</v>
      </c>
      <c r="R17" s="3">
        <f t="shared" si="3"/>
        <v>33.549999999999997</v>
      </c>
      <c r="S17" s="3">
        <f t="shared" si="0"/>
        <v>13</v>
      </c>
      <c r="T17" s="3">
        <f t="shared" si="1"/>
        <v>65</v>
      </c>
      <c r="U17" s="4">
        <f t="shared" si="4"/>
        <v>63.625</v>
      </c>
      <c r="V17" s="4">
        <f t="shared" si="5"/>
        <v>57.612499999999997</v>
      </c>
      <c r="W17" s="4">
        <f t="shared" si="6"/>
        <v>62.422500000000007</v>
      </c>
      <c r="X17" s="4">
        <f t="shared" si="7"/>
        <v>44.3</v>
      </c>
      <c r="Y17" s="21">
        <f t="shared" si="8"/>
        <v>59.756249999999994</v>
      </c>
      <c r="Z17" s="4">
        <f t="shared" si="9"/>
        <v>60.816666666666663</v>
      </c>
      <c r="AA17" s="21">
        <f t="shared" si="10"/>
        <v>61.22</v>
      </c>
      <c r="AB17" s="4">
        <f t="shared" si="11"/>
        <v>61.874408333333335</v>
      </c>
      <c r="AC17" s="21">
        <f t="shared" si="12"/>
        <v>40.436</v>
      </c>
      <c r="AD17" s="21">
        <f t="shared" si="13"/>
        <v>60.378250000000001</v>
      </c>
    </row>
    <row r="18" spans="1:30" x14ac:dyDescent="0.3">
      <c r="A18" s="3" t="s">
        <v>36</v>
      </c>
      <c r="B18" s="3">
        <v>22</v>
      </c>
      <c r="C18" s="3">
        <v>56</v>
      </c>
      <c r="D18" s="3">
        <v>48</v>
      </c>
      <c r="E18" s="3">
        <v>9</v>
      </c>
      <c r="F18" s="3">
        <v>60</v>
      </c>
      <c r="G18" s="3">
        <v>20</v>
      </c>
      <c r="H18" s="3">
        <v>77</v>
      </c>
      <c r="I18" s="3">
        <v>78</v>
      </c>
      <c r="J18" s="3">
        <v>32</v>
      </c>
      <c r="K18" s="3">
        <v>18</v>
      </c>
      <c r="L18" s="3">
        <v>8</v>
      </c>
      <c r="M18" s="3">
        <v>1</v>
      </c>
      <c r="N18" s="3">
        <v>1</v>
      </c>
      <c r="O18" s="3">
        <v>4</v>
      </c>
      <c r="P18" s="3">
        <v>5</v>
      </c>
      <c r="Q18" s="3">
        <f t="shared" si="2"/>
        <v>44.8</v>
      </c>
      <c r="R18" s="3">
        <f t="shared" si="3"/>
        <v>47.449999999999996</v>
      </c>
      <c r="S18" s="3">
        <f t="shared" si="0"/>
        <v>11</v>
      </c>
      <c r="T18" s="3">
        <f t="shared" si="1"/>
        <v>55.000000000000007</v>
      </c>
      <c r="U18" s="4">
        <f t="shared" si="4"/>
        <v>47.715000000000003</v>
      </c>
      <c r="V18" s="4">
        <f t="shared" si="5"/>
        <v>43.587499999999999</v>
      </c>
      <c r="W18" s="4">
        <f t="shared" si="6"/>
        <v>46.889500000000005</v>
      </c>
      <c r="X18" s="4">
        <f t="shared" si="7"/>
        <v>57.959999999999994</v>
      </c>
      <c r="Y18" s="21">
        <f t="shared" si="8"/>
        <v>41.628750000000004</v>
      </c>
      <c r="Z18" s="4">
        <f t="shared" si="9"/>
        <v>43.183333333333337</v>
      </c>
      <c r="AA18" s="21">
        <f t="shared" si="10"/>
        <v>46.064</v>
      </c>
      <c r="AB18" s="4">
        <f t="shared" si="11"/>
        <v>46.536431666666665</v>
      </c>
      <c r="AC18" s="21">
        <f t="shared" si="12"/>
        <v>55.143199999999993</v>
      </c>
      <c r="AD18" s="21">
        <f t="shared" si="13"/>
        <v>45.486150000000002</v>
      </c>
    </row>
    <row r="19" spans="1:30" x14ac:dyDescent="0.3">
      <c r="A19" s="3" t="s">
        <v>37</v>
      </c>
      <c r="B19" s="3">
        <v>76</v>
      </c>
      <c r="C19" s="3">
        <v>0</v>
      </c>
      <c r="D19" s="3">
        <v>46</v>
      </c>
      <c r="E19" s="3">
        <v>34</v>
      </c>
      <c r="F19" s="3">
        <v>82</v>
      </c>
      <c r="G19" s="3">
        <v>35</v>
      </c>
      <c r="H19" s="3">
        <v>19</v>
      </c>
      <c r="I19" s="3">
        <v>87</v>
      </c>
      <c r="J19" s="3">
        <v>87</v>
      </c>
      <c r="K19" s="3">
        <v>69</v>
      </c>
      <c r="L19" s="3">
        <v>6</v>
      </c>
      <c r="M19" s="3">
        <v>3</v>
      </c>
      <c r="N19" s="3">
        <v>1</v>
      </c>
      <c r="O19" s="3">
        <v>5</v>
      </c>
      <c r="P19" s="3">
        <v>2</v>
      </c>
      <c r="Q19" s="3">
        <f t="shared" si="2"/>
        <v>32.9</v>
      </c>
      <c r="R19" s="3">
        <f t="shared" si="3"/>
        <v>52.6</v>
      </c>
      <c r="S19" s="3">
        <f t="shared" si="0"/>
        <v>11</v>
      </c>
      <c r="T19" s="3">
        <f t="shared" si="1"/>
        <v>55.000000000000007</v>
      </c>
      <c r="U19" s="4">
        <f t="shared" si="4"/>
        <v>39.57</v>
      </c>
      <c r="V19" s="4">
        <f t="shared" si="5"/>
        <v>52.825000000000003</v>
      </c>
      <c r="W19" s="4">
        <f t="shared" si="6"/>
        <v>42.221000000000004</v>
      </c>
      <c r="X19" s="4">
        <f t="shared" si="7"/>
        <v>45.33</v>
      </c>
      <c r="Y19" s="21">
        <f t="shared" si="8"/>
        <v>58.4925</v>
      </c>
      <c r="Z19" s="4">
        <f t="shared" si="9"/>
        <v>59.466666666666669</v>
      </c>
      <c r="AA19" s="21">
        <f t="shared" si="10"/>
        <v>44.872000000000007</v>
      </c>
      <c r="AB19" s="4">
        <f t="shared" si="11"/>
        <v>48.626303333333333</v>
      </c>
      <c r="AC19" s="21">
        <f t="shared" si="12"/>
        <v>52.188600000000001</v>
      </c>
      <c r="AD19" s="21">
        <f t="shared" si="13"/>
        <v>46.727700000000006</v>
      </c>
    </row>
    <row r="20" spans="1:30" x14ac:dyDescent="0.3">
      <c r="A20" s="3" t="s">
        <v>38</v>
      </c>
      <c r="B20" s="3">
        <v>22</v>
      </c>
      <c r="C20" s="3">
        <v>99</v>
      </c>
      <c r="D20" s="3">
        <v>2</v>
      </c>
      <c r="E20" s="3">
        <v>42</v>
      </c>
      <c r="F20" s="3">
        <v>85</v>
      </c>
      <c r="G20" s="3">
        <v>98</v>
      </c>
      <c r="H20" s="3">
        <v>42</v>
      </c>
      <c r="I20" s="3">
        <v>51</v>
      </c>
      <c r="J20" s="3">
        <v>24</v>
      </c>
      <c r="K20" s="3">
        <v>51</v>
      </c>
      <c r="L20" s="3">
        <v>9</v>
      </c>
      <c r="M20" s="3">
        <v>1</v>
      </c>
      <c r="N20" s="3">
        <v>5</v>
      </c>
      <c r="O20" s="3">
        <v>3</v>
      </c>
      <c r="P20" s="3">
        <v>3</v>
      </c>
      <c r="Q20" s="3">
        <f t="shared" si="2"/>
        <v>56.4</v>
      </c>
      <c r="R20" s="3">
        <f t="shared" si="3"/>
        <v>58.800000000000004</v>
      </c>
      <c r="S20" s="3">
        <f t="shared" si="0"/>
        <v>12</v>
      </c>
      <c r="T20" s="3">
        <f t="shared" si="1"/>
        <v>60</v>
      </c>
      <c r="U20" s="4">
        <f t="shared" si="4"/>
        <v>46.519999999999996</v>
      </c>
      <c r="V20" s="4">
        <f t="shared" si="5"/>
        <v>44.9</v>
      </c>
      <c r="W20" s="4">
        <f t="shared" si="6"/>
        <v>46.195999999999998</v>
      </c>
      <c r="X20" s="4">
        <f t="shared" si="7"/>
        <v>52.48</v>
      </c>
      <c r="Y20" s="21">
        <f t="shared" si="8"/>
        <v>43.33</v>
      </c>
      <c r="Z20" s="4">
        <f t="shared" si="9"/>
        <v>41.066666666666663</v>
      </c>
      <c r="AA20" s="21">
        <f t="shared" si="10"/>
        <v>45.871999999999993</v>
      </c>
      <c r="AB20" s="4">
        <f t="shared" si="11"/>
        <v>44.36305333333334</v>
      </c>
      <c r="AC20" s="21">
        <f t="shared" si="12"/>
        <v>53.633600000000001</v>
      </c>
      <c r="AD20" s="21">
        <f t="shared" si="13"/>
        <v>45.645200000000003</v>
      </c>
    </row>
    <row r="21" spans="1:30" x14ac:dyDescent="0.3">
      <c r="A21" s="3" t="s">
        <v>39</v>
      </c>
      <c r="B21" s="3">
        <v>88</v>
      </c>
      <c r="C21" s="3">
        <v>45</v>
      </c>
      <c r="D21" s="3">
        <v>8</v>
      </c>
      <c r="E21" s="3">
        <v>17</v>
      </c>
      <c r="F21" s="3">
        <v>20</v>
      </c>
      <c r="G21" s="3">
        <v>59</v>
      </c>
      <c r="H21" s="3">
        <v>1</v>
      </c>
      <c r="I21" s="3">
        <v>15</v>
      </c>
      <c r="J21" s="3">
        <v>20</v>
      </c>
      <c r="K21" s="3">
        <v>9</v>
      </c>
      <c r="L21" s="3">
        <v>4</v>
      </c>
      <c r="M21" s="3">
        <v>2</v>
      </c>
      <c r="N21" s="3">
        <v>5</v>
      </c>
      <c r="O21" s="3">
        <v>1</v>
      </c>
      <c r="P21" s="3">
        <v>4</v>
      </c>
      <c r="Q21" s="3">
        <f t="shared" si="2"/>
        <v>24.549999999999997</v>
      </c>
      <c r="R21" s="3">
        <f t="shared" si="3"/>
        <v>24.849999999999998</v>
      </c>
      <c r="S21" s="3">
        <f t="shared" si="0"/>
        <v>12</v>
      </c>
      <c r="T21" s="3">
        <f t="shared" si="1"/>
        <v>60</v>
      </c>
      <c r="U21" s="4">
        <f t="shared" si="4"/>
        <v>48.94</v>
      </c>
      <c r="V21" s="4">
        <f t="shared" si="5"/>
        <v>61.924999999999997</v>
      </c>
      <c r="W21" s="4">
        <f t="shared" si="6"/>
        <v>51.536999999999999</v>
      </c>
      <c r="X21" s="4">
        <f t="shared" si="7"/>
        <v>42.234999999999999</v>
      </c>
      <c r="Y21" s="21">
        <f t="shared" si="8"/>
        <v>67.034999999999997</v>
      </c>
      <c r="Z21" s="4">
        <f t="shared" si="9"/>
        <v>74.38333333333334</v>
      </c>
      <c r="AA21" s="21">
        <f t="shared" si="10"/>
        <v>54.133999999999993</v>
      </c>
      <c r="AB21" s="4">
        <f t="shared" si="11"/>
        <v>61.815006666666669</v>
      </c>
      <c r="AC21" s="21">
        <f t="shared" si="12"/>
        <v>44.776700000000005</v>
      </c>
      <c r="AD21" s="21">
        <f t="shared" si="13"/>
        <v>55.951899999999995</v>
      </c>
    </row>
    <row r="22" spans="1:30" x14ac:dyDescent="0.3">
      <c r="A22" s="3" t="s">
        <v>40</v>
      </c>
      <c r="B22" s="3">
        <v>96</v>
      </c>
      <c r="C22" s="3">
        <v>40</v>
      </c>
      <c r="D22" s="3">
        <v>1</v>
      </c>
      <c r="E22" s="3">
        <v>35</v>
      </c>
      <c r="F22" s="3">
        <v>60</v>
      </c>
      <c r="G22" s="3">
        <v>88</v>
      </c>
      <c r="H22" s="3">
        <v>16</v>
      </c>
      <c r="I22" s="3">
        <v>98</v>
      </c>
      <c r="J22" s="3">
        <v>15</v>
      </c>
      <c r="K22" s="3">
        <v>48</v>
      </c>
      <c r="L22" s="3">
        <v>4</v>
      </c>
      <c r="M22" s="3">
        <v>5</v>
      </c>
      <c r="N22" s="3">
        <v>1</v>
      </c>
      <c r="O22" s="3">
        <v>1</v>
      </c>
      <c r="P22" s="3">
        <v>4</v>
      </c>
      <c r="Q22" s="3">
        <f t="shared" si="2"/>
        <v>30.3</v>
      </c>
      <c r="R22" s="3">
        <f t="shared" si="3"/>
        <v>57.05</v>
      </c>
      <c r="S22" s="3">
        <f t="shared" si="0"/>
        <v>11</v>
      </c>
      <c r="T22" s="3">
        <f t="shared" si="1"/>
        <v>55.000000000000007</v>
      </c>
      <c r="U22" s="4">
        <f t="shared" si="4"/>
        <v>34.564999999999998</v>
      </c>
      <c r="V22" s="4">
        <f t="shared" si="5"/>
        <v>56.0625</v>
      </c>
      <c r="W22" s="4">
        <f t="shared" si="6"/>
        <v>38.8645</v>
      </c>
      <c r="X22" s="4">
        <f t="shared" si="7"/>
        <v>40.11</v>
      </c>
      <c r="Y22" s="21">
        <f t="shared" si="8"/>
        <v>64.241249999999994</v>
      </c>
      <c r="Z22" s="4">
        <f t="shared" si="9"/>
        <v>64.649999999999991</v>
      </c>
      <c r="AA22" s="21">
        <f t="shared" si="10"/>
        <v>43.163999999999994</v>
      </c>
      <c r="AB22" s="4">
        <f t="shared" si="11"/>
        <v>48.078515000000003</v>
      </c>
      <c r="AC22" s="21">
        <f t="shared" si="12"/>
        <v>51.818200000000004</v>
      </c>
      <c r="AD22" s="21">
        <f t="shared" si="13"/>
        <v>46.173650000000002</v>
      </c>
    </row>
    <row r="23" spans="1:30" x14ac:dyDescent="0.3">
      <c r="A23" s="3" t="s">
        <v>41</v>
      </c>
      <c r="B23" s="3">
        <v>71</v>
      </c>
      <c r="C23" s="3">
        <v>50</v>
      </c>
      <c r="D23" s="3">
        <v>24</v>
      </c>
      <c r="E23" s="3">
        <v>14</v>
      </c>
      <c r="F23" s="3">
        <v>58</v>
      </c>
      <c r="G23" s="3">
        <v>7</v>
      </c>
      <c r="H23" s="3">
        <v>65</v>
      </c>
      <c r="I23" s="3">
        <v>0</v>
      </c>
      <c r="J23" s="3">
        <v>63</v>
      </c>
      <c r="K23" s="3">
        <v>93</v>
      </c>
      <c r="L23" s="3">
        <v>5</v>
      </c>
      <c r="M23" s="3">
        <v>2</v>
      </c>
      <c r="N23" s="3">
        <v>2</v>
      </c>
      <c r="O23" s="3">
        <v>4</v>
      </c>
      <c r="P23" s="3">
        <v>3</v>
      </c>
      <c r="Q23" s="3">
        <f t="shared" si="2"/>
        <v>36.200000000000003</v>
      </c>
      <c r="R23" s="3">
        <f t="shared" si="3"/>
        <v>37.1</v>
      </c>
      <c r="S23" s="3">
        <f t="shared" si="0"/>
        <v>11</v>
      </c>
      <c r="T23" s="3">
        <f t="shared" si="1"/>
        <v>55.000000000000007</v>
      </c>
      <c r="U23" s="4">
        <f t="shared" si="4"/>
        <v>47.31</v>
      </c>
      <c r="V23" s="4">
        <f t="shared" si="5"/>
        <v>56.274999999999999</v>
      </c>
      <c r="W23" s="4">
        <f t="shared" si="6"/>
        <v>49.103000000000009</v>
      </c>
      <c r="X23" s="4">
        <f t="shared" si="7"/>
        <v>45.839999999999996</v>
      </c>
      <c r="Y23" s="21">
        <f t="shared" si="8"/>
        <v>58.677500000000002</v>
      </c>
      <c r="Z23" s="4">
        <f t="shared" si="9"/>
        <v>62.966666666666669</v>
      </c>
      <c r="AA23" s="21">
        <f t="shared" si="10"/>
        <v>50.896000000000008</v>
      </c>
      <c r="AB23" s="4">
        <f t="shared" si="11"/>
        <v>55.429543333333342</v>
      </c>
      <c r="AC23" s="21">
        <f t="shared" si="12"/>
        <v>48.1248</v>
      </c>
      <c r="AD23" s="21">
        <f t="shared" si="13"/>
        <v>52.1511</v>
      </c>
    </row>
    <row r="24" spans="1:30" x14ac:dyDescent="0.3">
      <c r="A24" s="3" t="s">
        <v>42</v>
      </c>
      <c r="B24" s="3">
        <v>94</v>
      </c>
      <c r="C24" s="3">
        <v>97</v>
      </c>
      <c r="D24" s="3">
        <v>59</v>
      </c>
      <c r="E24" s="3">
        <v>74</v>
      </c>
      <c r="F24" s="3">
        <v>33</v>
      </c>
      <c r="G24" s="3">
        <v>57</v>
      </c>
      <c r="H24" s="3">
        <v>77</v>
      </c>
      <c r="I24" s="3">
        <v>28</v>
      </c>
      <c r="J24" s="3">
        <v>68</v>
      </c>
      <c r="K24" s="3">
        <v>31</v>
      </c>
      <c r="L24" s="3">
        <v>10</v>
      </c>
      <c r="M24" s="3">
        <v>3</v>
      </c>
      <c r="N24" s="3">
        <v>1</v>
      </c>
      <c r="O24" s="3">
        <v>4</v>
      </c>
      <c r="P24" s="3">
        <v>4</v>
      </c>
      <c r="Q24" s="3">
        <f t="shared" si="2"/>
        <v>71.399999999999991</v>
      </c>
      <c r="R24" s="3">
        <f t="shared" si="3"/>
        <v>55.249999999999993</v>
      </c>
      <c r="S24" s="3">
        <f t="shared" si="0"/>
        <v>12</v>
      </c>
      <c r="T24" s="3">
        <f t="shared" si="1"/>
        <v>60</v>
      </c>
      <c r="U24" s="4">
        <f t="shared" si="4"/>
        <v>53.795000000000002</v>
      </c>
      <c r="V24" s="4">
        <f t="shared" si="5"/>
        <v>67.537499999999994</v>
      </c>
      <c r="W24" s="4">
        <f t="shared" si="6"/>
        <v>56.543500000000002</v>
      </c>
      <c r="X24" s="4">
        <f t="shared" si="7"/>
        <v>26.380000000000003</v>
      </c>
      <c r="Y24" s="21">
        <f t="shared" si="8"/>
        <v>70.348749999999995</v>
      </c>
      <c r="Z24" s="4">
        <f t="shared" si="9"/>
        <v>66.25</v>
      </c>
      <c r="AA24" s="21">
        <f t="shared" si="10"/>
        <v>59.292000000000002</v>
      </c>
      <c r="AB24" s="4">
        <f t="shared" si="11"/>
        <v>58.742545000000007</v>
      </c>
      <c r="AC24" s="21">
        <f t="shared" si="12"/>
        <v>36.409600000000005</v>
      </c>
      <c r="AD24" s="21">
        <f t="shared" si="13"/>
        <v>61.215949999999999</v>
      </c>
    </row>
    <row r="25" spans="1:30" x14ac:dyDescent="0.3">
      <c r="A25" s="3" t="s">
        <v>43</v>
      </c>
      <c r="B25" s="3">
        <v>0</v>
      </c>
      <c r="C25" s="3">
        <v>55</v>
      </c>
      <c r="D25" s="3">
        <v>26</v>
      </c>
      <c r="E25" s="3">
        <v>13</v>
      </c>
      <c r="F25" s="3">
        <v>66</v>
      </c>
      <c r="G25" s="3">
        <v>96</v>
      </c>
      <c r="H25" s="3">
        <v>12</v>
      </c>
      <c r="I25" s="3">
        <v>22</v>
      </c>
      <c r="J25" s="3">
        <v>21</v>
      </c>
      <c r="K25" s="3">
        <v>55</v>
      </c>
      <c r="L25" s="3">
        <v>14</v>
      </c>
      <c r="M25" s="3">
        <v>4</v>
      </c>
      <c r="N25" s="3">
        <v>3</v>
      </c>
      <c r="O25" s="3">
        <v>1</v>
      </c>
      <c r="P25" s="3">
        <v>1</v>
      </c>
      <c r="Q25" s="3">
        <f t="shared" si="2"/>
        <v>39.550000000000004</v>
      </c>
      <c r="R25" s="3">
        <f t="shared" si="3"/>
        <v>44.849999999999994</v>
      </c>
      <c r="S25" s="3">
        <f t="shared" si="0"/>
        <v>9</v>
      </c>
      <c r="T25" s="3">
        <f t="shared" si="1"/>
        <v>45</v>
      </c>
      <c r="U25" s="4">
        <f t="shared" si="4"/>
        <v>53.440000000000005</v>
      </c>
      <c r="V25" s="4">
        <f t="shared" si="5"/>
        <v>34.925000000000004</v>
      </c>
      <c r="W25" s="4">
        <f t="shared" si="6"/>
        <v>49.737000000000009</v>
      </c>
      <c r="X25" s="4">
        <f t="shared" si="7"/>
        <v>70.134999999999991</v>
      </c>
      <c r="Y25" s="21">
        <f t="shared" si="8"/>
        <v>31.36</v>
      </c>
      <c r="Z25" s="4">
        <f t="shared" si="9"/>
        <v>33.383333333333333</v>
      </c>
      <c r="AA25" s="21">
        <f t="shared" si="10"/>
        <v>46.034000000000013</v>
      </c>
      <c r="AB25" s="4">
        <f t="shared" si="11"/>
        <v>44.494006666666664</v>
      </c>
      <c r="AC25" s="21">
        <f t="shared" si="12"/>
        <v>58.81669999999999</v>
      </c>
      <c r="AD25" s="21">
        <f t="shared" si="13"/>
        <v>43.441900000000004</v>
      </c>
    </row>
    <row r="26" spans="1:30" x14ac:dyDescent="0.3">
      <c r="A26" s="3" t="s">
        <v>44</v>
      </c>
      <c r="B26" s="3">
        <v>53</v>
      </c>
      <c r="C26" s="3">
        <v>90</v>
      </c>
      <c r="D26" s="3">
        <v>100</v>
      </c>
      <c r="E26" s="3">
        <v>83</v>
      </c>
      <c r="F26" s="3">
        <v>46</v>
      </c>
      <c r="G26" s="3">
        <v>91</v>
      </c>
      <c r="H26" s="3">
        <v>18</v>
      </c>
      <c r="I26" s="3">
        <v>17</v>
      </c>
      <c r="J26" s="3">
        <v>67</v>
      </c>
      <c r="K26" s="3">
        <v>15</v>
      </c>
      <c r="L26" s="3">
        <v>20</v>
      </c>
      <c r="M26" s="3">
        <v>1</v>
      </c>
      <c r="N26" s="3">
        <v>5</v>
      </c>
      <c r="O26" s="3">
        <v>1</v>
      </c>
      <c r="P26" s="3">
        <v>1</v>
      </c>
      <c r="Q26" s="3">
        <f t="shared" si="2"/>
        <v>85</v>
      </c>
      <c r="R26" s="3">
        <f t="shared" si="3"/>
        <v>46.75</v>
      </c>
      <c r="S26" s="3">
        <f t="shared" si="0"/>
        <v>8</v>
      </c>
      <c r="T26" s="3">
        <f t="shared" si="1"/>
        <v>40</v>
      </c>
      <c r="U26" s="4">
        <f t="shared" si="4"/>
        <v>72.125</v>
      </c>
      <c r="V26" s="4">
        <f t="shared" si="5"/>
        <v>57.8125</v>
      </c>
      <c r="W26" s="4">
        <f t="shared" si="6"/>
        <v>69.262500000000003</v>
      </c>
      <c r="X26" s="4">
        <f t="shared" si="7"/>
        <v>42.6</v>
      </c>
      <c r="Y26" s="21">
        <f t="shared" si="8"/>
        <v>52.581249999999997</v>
      </c>
      <c r="Z26" s="4">
        <f t="shared" si="9"/>
        <v>48.75</v>
      </c>
      <c r="AA26" s="21">
        <f t="shared" si="10"/>
        <v>66.399999999999991</v>
      </c>
      <c r="AB26" s="4">
        <f t="shared" si="11"/>
        <v>60.120874999999998</v>
      </c>
      <c r="AC26" s="21">
        <f t="shared" si="12"/>
        <v>36.300000000000004</v>
      </c>
      <c r="AD26" s="21">
        <f t="shared" si="13"/>
        <v>64.396250000000009</v>
      </c>
    </row>
    <row r="27" spans="1:30" x14ac:dyDescent="0.3">
      <c r="A27" s="3" t="s">
        <v>45</v>
      </c>
      <c r="B27" s="3">
        <v>34</v>
      </c>
      <c r="C27" s="3">
        <v>57</v>
      </c>
      <c r="D27" s="3">
        <v>49</v>
      </c>
      <c r="E27" s="3">
        <v>24</v>
      </c>
      <c r="F27" s="3">
        <v>15</v>
      </c>
      <c r="G27" s="3">
        <v>63</v>
      </c>
      <c r="H27" s="3">
        <v>47</v>
      </c>
      <c r="I27" s="3">
        <v>65</v>
      </c>
      <c r="J27" s="3">
        <v>77</v>
      </c>
      <c r="K27" s="3">
        <v>91</v>
      </c>
      <c r="L27" s="3">
        <v>9</v>
      </c>
      <c r="M27" s="3">
        <v>3</v>
      </c>
      <c r="N27" s="3">
        <v>3</v>
      </c>
      <c r="O27" s="3">
        <v>3</v>
      </c>
      <c r="P27" s="3">
        <v>3</v>
      </c>
      <c r="Q27" s="3">
        <f t="shared" si="2"/>
        <v>41.7</v>
      </c>
      <c r="R27" s="3">
        <f t="shared" si="3"/>
        <v>64.3</v>
      </c>
      <c r="S27" s="3">
        <f t="shared" si="0"/>
        <v>12</v>
      </c>
      <c r="T27" s="3">
        <f t="shared" si="1"/>
        <v>60</v>
      </c>
      <c r="U27" s="4">
        <f t="shared" si="4"/>
        <v>39.36</v>
      </c>
      <c r="V27" s="4">
        <f t="shared" si="5"/>
        <v>42.85</v>
      </c>
      <c r="W27" s="4">
        <f t="shared" si="6"/>
        <v>40.058</v>
      </c>
      <c r="X27" s="4">
        <f t="shared" si="7"/>
        <v>53.29</v>
      </c>
      <c r="Y27" s="21">
        <f t="shared" si="8"/>
        <v>45.739999999999995</v>
      </c>
      <c r="Z27" s="4">
        <f t="shared" si="9"/>
        <v>43.233333333333327</v>
      </c>
      <c r="AA27" s="21">
        <f t="shared" si="10"/>
        <v>40.756</v>
      </c>
      <c r="AB27" s="4">
        <f t="shared" si="11"/>
        <v>40.833226666666661</v>
      </c>
      <c r="AC27" s="21">
        <f t="shared" si="12"/>
        <v>57.457799999999999</v>
      </c>
      <c r="AD27" s="21">
        <f t="shared" si="13"/>
        <v>41.244600000000005</v>
      </c>
    </row>
    <row r="28" spans="1:30" x14ac:dyDescent="0.3">
      <c r="A28" s="3" t="s">
        <v>46</v>
      </c>
      <c r="B28" s="3">
        <v>84</v>
      </c>
      <c r="C28" s="3">
        <v>2</v>
      </c>
      <c r="D28" s="3">
        <v>38</v>
      </c>
      <c r="E28" s="3">
        <v>74</v>
      </c>
      <c r="F28" s="3">
        <v>57</v>
      </c>
      <c r="G28" s="3">
        <v>69</v>
      </c>
      <c r="H28" s="3">
        <v>0</v>
      </c>
      <c r="I28" s="3">
        <v>42</v>
      </c>
      <c r="J28" s="3">
        <v>29</v>
      </c>
      <c r="K28" s="3">
        <v>76</v>
      </c>
      <c r="L28" s="3">
        <v>20</v>
      </c>
      <c r="M28" s="3">
        <v>4</v>
      </c>
      <c r="N28" s="3">
        <v>4</v>
      </c>
      <c r="O28" s="3">
        <v>1</v>
      </c>
      <c r="P28" s="3">
        <v>3</v>
      </c>
      <c r="Q28" s="3">
        <f t="shared" si="2"/>
        <v>35.449999999999996</v>
      </c>
      <c r="R28" s="3">
        <f t="shared" si="3"/>
        <v>41.050000000000004</v>
      </c>
      <c r="S28" s="3">
        <f t="shared" si="0"/>
        <v>12</v>
      </c>
      <c r="T28" s="3">
        <f t="shared" si="1"/>
        <v>60</v>
      </c>
      <c r="U28" s="4">
        <f t="shared" si="4"/>
        <v>60.11</v>
      </c>
      <c r="V28" s="4">
        <f t="shared" si="5"/>
        <v>59.599999999999994</v>
      </c>
      <c r="W28" s="4">
        <f t="shared" si="6"/>
        <v>60.008000000000003</v>
      </c>
      <c r="X28" s="4">
        <f t="shared" si="7"/>
        <v>40.165000000000006</v>
      </c>
      <c r="Y28" s="21">
        <f t="shared" si="8"/>
        <v>68.427499999999995</v>
      </c>
      <c r="Z28" s="4">
        <f t="shared" si="9"/>
        <v>67.649999999999991</v>
      </c>
      <c r="AA28" s="21">
        <f t="shared" si="10"/>
        <v>59.905999999999999</v>
      </c>
      <c r="AB28" s="4">
        <f t="shared" si="11"/>
        <v>61.296810000000008</v>
      </c>
      <c r="AC28" s="21">
        <f t="shared" si="12"/>
        <v>40.115299999999998</v>
      </c>
      <c r="AD28" s="21">
        <f t="shared" si="13"/>
        <v>59.834600000000002</v>
      </c>
    </row>
    <row r="29" spans="1:30" x14ac:dyDescent="0.3">
      <c r="A29" s="3" t="s">
        <v>47</v>
      </c>
      <c r="B29" s="3">
        <v>83</v>
      </c>
      <c r="C29" s="3">
        <v>52</v>
      </c>
      <c r="D29" s="3">
        <v>48</v>
      </c>
      <c r="E29" s="3">
        <v>11</v>
      </c>
      <c r="F29" s="3">
        <v>100</v>
      </c>
      <c r="G29" s="3">
        <v>46</v>
      </c>
      <c r="H29" s="3">
        <v>42</v>
      </c>
      <c r="I29" s="3">
        <v>9</v>
      </c>
      <c r="J29" s="3">
        <v>61</v>
      </c>
      <c r="K29" s="3">
        <v>7</v>
      </c>
      <c r="L29" s="3">
        <v>0</v>
      </c>
      <c r="M29" s="3">
        <v>5</v>
      </c>
      <c r="N29" s="3">
        <v>3</v>
      </c>
      <c r="O29" s="3">
        <v>5</v>
      </c>
      <c r="P29" s="3">
        <v>3</v>
      </c>
      <c r="Q29" s="3">
        <f t="shared" si="2"/>
        <v>49.8</v>
      </c>
      <c r="R29" s="3">
        <f t="shared" si="3"/>
        <v>35.950000000000003</v>
      </c>
      <c r="S29" s="3">
        <f t="shared" si="0"/>
        <v>16</v>
      </c>
      <c r="T29" s="3">
        <f t="shared" si="1"/>
        <v>80</v>
      </c>
      <c r="U29" s="4">
        <f t="shared" si="4"/>
        <v>46.964999999999996</v>
      </c>
      <c r="V29" s="4">
        <f t="shared" si="5"/>
        <v>69.212500000000006</v>
      </c>
      <c r="W29" s="4">
        <f t="shared" si="6"/>
        <v>51.414499999999997</v>
      </c>
      <c r="X29" s="4">
        <f t="shared" si="7"/>
        <v>28.16</v>
      </c>
      <c r="Y29" s="21">
        <f t="shared" si="8"/>
        <v>72.791249999999991</v>
      </c>
      <c r="Z29" s="4">
        <f t="shared" si="9"/>
        <v>75.683333333333337</v>
      </c>
      <c r="AA29" s="21">
        <f t="shared" si="10"/>
        <v>55.864000000000004</v>
      </c>
      <c r="AB29" s="4">
        <f t="shared" si="11"/>
        <v>61.94818166666667</v>
      </c>
      <c r="AC29" s="21">
        <f t="shared" si="12"/>
        <v>39.343200000000003</v>
      </c>
      <c r="AD29" s="21">
        <f t="shared" si="13"/>
        <v>58.978650000000002</v>
      </c>
    </row>
    <row r="30" spans="1:30" x14ac:dyDescent="0.3">
      <c r="A30" s="3" t="s">
        <v>48</v>
      </c>
      <c r="B30" s="3">
        <v>64</v>
      </c>
      <c r="C30" s="3">
        <v>66</v>
      </c>
      <c r="D30" s="3">
        <v>98</v>
      </c>
      <c r="E30" s="3">
        <v>32</v>
      </c>
      <c r="F30" s="3">
        <v>56</v>
      </c>
      <c r="G30" s="3">
        <v>13</v>
      </c>
      <c r="H30" s="3">
        <v>90</v>
      </c>
      <c r="I30" s="3">
        <v>11</v>
      </c>
      <c r="J30" s="3">
        <v>43</v>
      </c>
      <c r="K30" s="3">
        <v>11</v>
      </c>
      <c r="L30" s="3">
        <v>5</v>
      </c>
      <c r="M30" s="3">
        <v>2</v>
      </c>
      <c r="N30" s="3">
        <v>5</v>
      </c>
      <c r="O30" s="3">
        <v>1</v>
      </c>
      <c r="P30" s="3">
        <v>2</v>
      </c>
      <c r="Q30" s="3">
        <f t="shared" si="2"/>
        <v>67.3</v>
      </c>
      <c r="R30" s="3">
        <f t="shared" si="3"/>
        <v>36.15</v>
      </c>
      <c r="S30" s="3">
        <f t="shared" si="0"/>
        <v>10</v>
      </c>
      <c r="T30" s="3">
        <f t="shared" si="1"/>
        <v>50</v>
      </c>
      <c r="U30" s="4">
        <f t="shared" si="4"/>
        <v>57.114999999999995</v>
      </c>
      <c r="V30" s="4">
        <f t="shared" si="5"/>
        <v>61.287500000000001</v>
      </c>
      <c r="W30" s="4">
        <f t="shared" si="6"/>
        <v>57.9495</v>
      </c>
      <c r="X30" s="4">
        <f t="shared" si="7"/>
        <v>40.61</v>
      </c>
      <c r="Y30" s="21">
        <f t="shared" si="8"/>
        <v>56.678749999999994</v>
      </c>
      <c r="Z30" s="4">
        <f t="shared" si="9"/>
        <v>59.283333333333331</v>
      </c>
      <c r="AA30" s="21">
        <f t="shared" si="10"/>
        <v>58.783999999999999</v>
      </c>
      <c r="AB30" s="4">
        <f t="shared" si="11"/>
        <v>59.629131666666673</v>
      </c>
      <c r="AC30" s="21">
        <f t="shared" si="12"/>
        <v>41.034199999999998</v>
      </c>
      <c r="AD30" s="21">
        <f t="shared" si="13"/>
        <v>59.36815</v>
      </c>
    </row>
    <row r="31" spans="1:30" x14ac:dyDescent="0.3">
      <c r="A31" s="3" t="s">
        <v>49</v>
      </c>
      <c r="B31" s="3">
        <v>52</v>
      </c>
      <c r="C31" s="3">
        <v>48</v>
      </c>
      <c r="D31" s="3">
        <v>64</v>
      </c>
      <c r="E31" s="3">
        <v>22</v>
      </c>
      <c r="F31" s="3">
        <v>21</v>
      </c>
      <c r="G31" s="3">
        <v>86</v>
      </c>
      <c r="H31" s="3">
        <v>92</v>
      </c>
      <c r="I31" s="3">
        <v>67</v>
      </c>
      <c r="J31" s="3">
        <v>37</v>
      </c>
      <c r="K31" s="3">
        <v>54</v>
      </c>
      <c r="L31" s="3">
        <v>8</v>
      </c>
      <c r="M31" s="3">
        <v>3</v>
      </c>
      <c r="N31" s="3">
        <v>4</v>
      </c>
      <c r="O31" s="3">
        <v>2</v>
      </c>
      <c r="P31" s="3">
        <v>4</v>
      </c>
      <c r="Q31" s="3">
        <f t="shared" si="2"/>
        <v>43.55</v>
      </c>
      <c r="R31" s="3">
        <f t="shared" si="3"/>
        <v>73.150000000000006</v>
      </c>
      <c r="S31" s="3">
        <f t="shared" si="0"/>
        <v>13</v>
      </c>
      <c r="T31" s="3">
        <f t="shared" si="1"/>
        <v>65</v>
      </c>
      <c r="U31" s="4">
        <f t="shared" si="4"/>
        <v>34.489999999999995</v>
      </c>
      <c r="V31" s="4">
        <f t="shared" si="5"/>
        <v>46.849999999999994</v>
      </c>
      <c r="W31" s="4">
        <f t="shared" si="6"/>
        <v>36.961999999999996</v>
      </c>
      <c r="X31" s="4">
        <f t="shared" si="7"/>
        <v>45.334999999999994</v>
      </c>
      <c r="Y31" s="21">
        <f t="shared" si="8"/>
        <v>52.822500000000005</v>
      </c>
      <c r="Z31" s="4">
        <f t="shared" si="9"/>
        <v>47.949999999999996</v>
      </c>
      <c r="AA31" s="21">
        <f t="shared" si="10"/>
        <v>39.433999999999997</v>
      </c>
      <c r="AB31" s="4">
        <f t="shared" si="11"/>
        <v>39.842089999999992</v>
      </c>
      <c r="AC31" s="21">
        <f t="shared" si="12"/>
        <v>55.996700000000004</v>
      </c>
      <c r="AD31" s="21">
        <f t="shared" si="13"/>
        <v>41.164399999999993</v>
      </c>
    </row>
    <row r="32" spans="1:30" x14ac:dyDescent="0.3">
      <c r="A32" s="3" t="s">
        <v>50</v>
      </c>
      <c r="B32" s="3">
        <v>83</v>
      </c>
      <c r="C32" s="3">
        <v>22</v>
      </c>
      <c r="D32" s="3">
        <v>5</v>
      </c>
      <c r="E32" s="3">
        <v>47</v>
      </c>
      <c r="F32" s="3">
        <v>8</v>
      </c>
      <c r="G32" s="3">
        <v>15</v>
      </c>
      <c r="H32" s="3">
        <v>71</v>
      </c>
      <c r="I32" s="3">
        <v>25</v>
      </c>
      <c r="J32" s="3">
        <v>29</v>
      </c>
      <c r="K32" s="3">
        <v>61</v>
      </c>
      <c r="L32" s="3">
        <v>3</v>
      </c>
      <c r="M32" s="3">
        <v>2</v>
      </c>
      <c r="N32" s="3">
        <v>2</v>
      </c>
      <c r="O32" s="3">
        <v>4</v>
      </c>
      <c r="P32" s="3">
        <v>1</v>
      </c>
      <c r="Q32" s="3">
        <f t="shared" si="2"/>
        <v>19.8</v>
      </c>
      <c r="R32" s="3">
        <f t="shared" si="3"/>
        <v>37.700000000000003</v>
      </c>
      <c r="S32" s="3">
        <f t="shared" si="0"/>
        <v>9</v>
      </c>
      <c r="T32" s="3">
        <f t="shared" si="1"/>
        <v>45</v>
      </c>
      <c r="U32" s="4">
        <f t="shared" si="4"/>
        <v>40.090000000000003</v>
      </c>
      <c r="V32" s="4">
        <f t="shared" si="5"/>
        <v>52.524999999999999</v>
      </c>
      <c r="W32" s="4">
        <f t="shared" si="6"/>
        <v>42.577000000000005</v>
      </c>
      <c r="X32" s="4">
        <f t="shared" si="7"/>
        <v>51.16</v>
      </c>
      <c r="Y32" s="21">
        <f t="shared" si="8"/>
        <v>57.072499999999998</v>
      </c>
      <c r="Z32" s="4">
        <f t="shared" si="9"/>
        <v>63.433333333333337</v>
      </c>
      <c r="AA32" s="21">
        <f t="shared" si="10"/>
        <v>45.064</v>
      </c>
      <c r="AB32" s="4">
        <f t="shared" si="11"/>
        <v>51.682056666666668</v>
      </c>
      <c r="AC32" s="21">
        <f t="shared" si="12"/>
        <v>53.803200000000004</v>
      </c>
      <c r="AD32" s="21">
        <f t="shared" si="13"/>
        <v>46.804900000000004</v>
      </c>
    </row>
    <row r="33" spans="1:30" x14ac:dyDescent="0.3">
      <c r="A33" s="3" t="s">
        <v>51</v>
      </c>
      <c r="B33" s="3">
        <v>77</v>
      </c>
      <c r="C33" s="3">
        <v>8</v>
      </c>
      <c r="D33" s="3">
        <v>96</v>
      </c>
      <c r="E33" s="3">
        <v>100</v>
      </c>
      <c r="F33" s="3">
        <v>30</v>
      </c>
      <c r="G33" s="3">
        <v>29</v>
      </c>
      <c r="H33" s="3">
        <v>83</v>
      </c>
      <c r="I33" s="3">
        <v>66</v>
      </c>
      <c r="J33" s="3">
        <v>57</v>
      </c>
      <c r="K33" s="3">
        <v>76</v>
      </c>
      <c r="L33" s="3">
        <v>8</v>
      </c>
      <c r="M33" s="3">
        <v>3</v>
      </c>
      <c r="N33" s="3">
        <v>1</v>
      </c>
      <c r="O33" s="3">
        <v>5</v>
      </c>
      <c r="P33" s="3">
        <v>1</v>
      </c>
      <c r="Q33" s="3">
        <f t="shared" si="2"/>
        <v>56.099999999999994</v>
      </c>
      <c r="R33" s="3">
        <f t="shared" si="3"/>
        <v>58.8</v>
      </c>
      <c r="S33" s="3">
        <f t="shared" si="0"/>
        <v>10</v>
      </c>
      <c r="T33" s="3">
        <f t="shared" si="1"/>
        <v>50</v>
      </c>
      <c r="U33" s="4">
        <f t="shared" si="4"/>
        <v>45.43</v>
      </c>
      <c r="V33" s="4">
        <f t="shared" si="5"/>
        <v>56.075000000000003</v>
      </c>
      <c r="W33" s="4">
        <f t="shared" si="6"/>
        <v>47.559000000000005</v>
      </c>
      <c r="X33" s="4">
        <f t="shared" si="7"/>
        <v>40.07</v>
      </c>
      <c r="Y33" s="21">
        <f t="shared" si="8"/>
        <v>58.307500000000005</v>
      </c>
      <c r="Z33" s="4">
        <f t="shared" si="9"/>
        <v>56.066666666666663</v>
      </c>
      <c r="AA33" s="21">
        <f t="shared" si="10"/>
        <v>49.687999999999995</v>
      </c>
      <c r="AB33" s="4">
        <f t="shared" si="11"/>
        <v>49.886963333333334</v>
      </c>
      <c r="AC33" s="21">
        <f t="shared" si="12"/>
        <v>47.239399999999996</v>
      </c>
      <c r="AD33" s="21">
        <f t="shared" si="13"/>
        <v>51.1783</v>
      </c>
    </row>
    <row r="34" spans="1:30" x14ac:dyDescent="0.3">
      <c r="A34" s="3" t="s">
        <v>52</v>
      </c>
      <c r="B34" s="3">
        <v>91</v>
      </c>
      <c r="C34" s="3">
        <v>35</v>
      </c>
      <c r="D34" s="3">
        <v>87</v>
      </c>
      <c r="E34" s="3">
        <v>52</v>
      </c>
      <c r="F34" s="3">
        <v>64</v>
      </c>
      <c r="G34" s="3">
        <v>84</v>
      </c>
      <c r="H34" s="3">
        <v>29</v>
      </c>
      <c r="I34" s="3">
        <v>38</v>
      </c>
      <c r="J34" s="3">
        <v>73</v>
      </c>
      <c r="K34" s="3">
        <v>77</v>
      </c>
      <c r="L34" s="3">
        <v>8</v>
      </c>
      <c r="M34" s="3">
        <v>5</v>
      </c>
      <c r="N34" s="3">
        <v>5</v>
      </c>
      <c r="O34" s="3">
        <v>5</v>
      </c>
      <c r="P34" s="3">
        <v>4</v>
      </c>
      <c r="Q34" s="3">
        <f t="shared" ref="Q34:Q65" si="14">0.35*C34+0.3*D34+0.2*E34+0.15*F34</f>
        <v>58.349999999999994</v>
      </c>
      <c r="R34" s="3">
        <f t="shared" ref="R34:R65" si="15">0.3*G34+0.25*H34+0.2*I34+0.15*J34+0.1*K34</f>
        <v>58.7</v>
      </c>
      <c r="S34" s="3">
        <f t="shared" ref="S34:S65" si="16">M34+N34+O34+P34</f>
        <v>19</v>
      </c>
      <c r="T34" s="3">
        <f t="shared" ref="T34:T65" si="17">(S34/20)*100</f>
        <v>95</v>
      </c>
      <c r="U34" s="4">
        <f t="shared" si="4"/>
        <v>46.155000000000001</v>
      </c>
      <c r="V34" s="4">
        <f t="shared" si="5"/>
        <v>71.412499999999994</v>
      </c>
      <c r="W34" s="4">
        <f t="shared" si="6"/>
        <v>51.206499999999998</v>
      </c>
      <c r="X34" s="4">
        <f t="shared" si="7"/>
        <v>17.195</v>
      </c>
      <c r="Y34" s="21">
        <f t="shared" si="8"/>
        <v>81.388749999999987</v>
      </c>
      <c r="Z34" s="4">
        <f t="shared" si="9"/>
        <v>75.766666666666666</v>
      </c>
      <c r="AA34" s="21">
        <f t="shared" si="10"/>
        <v>56.258000000000003</v>
      </c>
      <c r="AB34" s="4">
        <f t="shared" si="11"/>
        <v>58.978038333333338</v>
      </c>
      <c r="AC34" s="21">
        <f t="shared" si="12"/>
        <v>35.777900000000002</v>
      </c>
      <c r="AD34" s="21">
        <f t="shared" si="13"/>
        <v>59.794049999999999</v>
      </c>
    </row>
    <row r="35" spans="1:30" x14ac:dyDescent="0.3">
      <c r="A35" s="3" t="s">
        <v>53</v>
      </c>
      <c r="B35" s="3">
        <v>6</v>
      </c>
      <c r="C35" s="3">
        <v>35</v>
      </c>
      <c r="D35" s="3">
        <v>40</v>
      </c>
      <c r="E35" s="3">
        <v>48</v>
      </c>
      <c r="F35" s="3">
        <v>43</v>
      </c>
      <c r="G35" s="3">
        <v>57</v>
      </c>
      <c r="H35" s="3">
        <v>79</v>
      </c>
      <c r="I35" s="3">
        <v>8</v>
      </c>
      <c r="J35" s="3">
        <v>93</v>
      </c>
      <c r="K35" s="3">
        <v>1</v>
      </c>
      <c r="L35" s="3">
        <v>14</v>
      </c>
      <c r="M35" s="3">
        <v>5</v>
      </c>
      <c r="N35" s="3">
        <v>1</v>
      </c>
      <c r="O35" s="3">
        <v>3</v>
      </c>
      <c r="P35" s="3">
        <v>5</v>
      </c>
      <c r="Q35" s="3">
        <f t="shared" si="14"/>
        <v>40.300000000000004</v>
      </c>
      <c r="R35" s="3">
        <f t="shared" si="15"/>
        <v>52.499999999999993</v>
      </c>
      <c r="S35" s="3">
        <f t="shared" si="16"/>
        <v>14</v>
      </c>
      <c r="T35" s="3">
        <f t="shared" si="17"/>
        <v>70</v>
      </c>
      <c r="U35" s="4">
        <f t="shared" si="4"/>
        <v>49.84</v>
      </c>
      <c r="V35" s="4">
        <f t="shared" si="5"/>
        <v>40.950000000000003</v>
      </c>
      <c r="W35" s="4">
        <f t="shared" si="6"/>
        <v>48.062000000000012</v>
      </c>
      <c r="X35" s="4">
        <f t="shared" si="7"/>
        <v>58.11</v>
      </c>
      <c r="Y35" s="21">
        <f t="shared" si="8"/>
        <v>42.56</v>
      </c>
      <c r="Z35" s="4">
        <f t="shared" si="9"/>
        <v>41.166666666666664</v>
      </c>
      <c r="AA35" s="21">
        <f t="shared" si="10"/>
        <v>46.284000000000013</v>
      </c>
      <c r="AB35" s="4">
        <f t="shared" si="11"/>
        <v>45.609173333333331</v>
      </c>
      <c r="AC35" s="21">
        <f t="shared" si="12"/>
        <v>55.034199999999998</v>
      </c>
      <c r="AD35" s="21">
        <f t="shared" si="13"/>
        <v>45.039400000000001</v>
      </c>
    </row>
    <row r="36" spans="1:30" x14ac:dyDescent="0.3">
      <c r="A36" s="3" t="s">
        <v>54</v>
      </c>
      <c r="B36" s="3">
        <v>81</v>
      </c>
      <c r="C36" s="3">
        <v>84</v>
      </c>
      <c r="D36" s="3">
        <v>7</v>
      </c>
      <c r="E36" s="3">
        <v>85</v>
      </c>
      <c r="F36" s="3">
        <v>53</v>
      </c>
      <c r="G36" s="3">
        <v>2</v>
      </c>
      <c r="H36" s="3">
        <v>88</v>
      </c>
      <c r="I36" s="3">
        <v>21</v>
      </c>
      <c r="J36" s="3">
        <v>16</v>
      </c>
      <c r="K36" s="3">
        <v>55</v>
      </c>
      <c r="L36" s="3">
        <v>15</v>
      </c>
      <c r="M36" s="3">
        <v>4</v>
      </c>
      <c r="N36" s="3">
        <v>1</v>
      </c>
      <c r="O36" s="3">
        <v>2</v>
      </c>
      <c r="P36" s="3">
        <v>1</v>
      </c>
      <c r="Q36" s="3">
        <f t="shared" si="14"/>
        <v>56.45</v>
      </c>
      <c r="R36" s="3">
        <f t="shared" si="15"/>
        <v>34.700000000000003</v>
      </c>
      <c r="S36" s="3">
        <f t="shared" si="16"/>
        <v>8</v>
      </c>
      <c r="T36" s="3">
        <f t="shared" si="17"/>
        <v>40</v>
      </c>
      <c r="U36" s="4">
        <f t="shared" si="4"/>
        <v>64.584999999999994</v>
      </c>
      <c r="V36" s="4">
        <f t="shared" si="5"/>
        <v>60.6875</v>
      </c>
      <c r="W36" s="4">
        <f t="shared" si="6"/>
        <v>63.805500000000002</v>
      </c>
      <c r="X36" s="4">
        <f t="shared" si="7"/>
        <v>42.765000000000001</v>
      </c>
      <c r="Y36" s="21">
        <f t="shared" si="8"/>
        <v>60.496249999999989</v>
      </c>
      <c r="Z36" s="4">
        <f t="shared" si="9"/>
        <v>62.1</v>
      </c>
      <c r="AA36" s="21">
        <f t="shared" si="10"/>
        <v>63.026000000000003</v>
      </c>
      <c r="AB36" s="4">
        <f t="shared" si="11"/>
        <v>62.762135000000008</v>
      </c>
      <c r="AC36" s="21">
        <f t="shared" si="12"/>
        <v>38.711299999999994</v>
      </c>
      <c r="AD36" s="21">
        <f t="shared" si="13"/>
        <v>62.480350000000001</v>
      </c>
    </row>
    <row r="37" spans="1:30" x14ac:dyDescent="0.3">
      <c r="A37" s="3" t="s">
        <v>55</v>
      </c>
      <c r="B37" s="3">
        <v>53</v>
      </c>
      <c r="C37" s="3">
        <v>11</v>
      </c>
      <c r="D37" s="3">
        <v>94</v>
      </c>
      <c r="E37" s="3">
        <v>42</v>
      </c>
      <c r="F37" s="3">
        <v>76</v>
      </c>
      <c r="G37" s="3">
        <v>48</v>
      </c>
      <c r="H37" s="3">
        <v>40</v>
      </c>
      <c r="I37" s="3">
        <v>69</v>
      </c>
      <c r="J37" s="3">
        <v>39</v>
      </c>
      <c r="K37" s="3">
        <v>68</v>
      </c>
      <c r="L37" s="3">
        <v>5</v>
      </c>
      <c r="M37" s="3">
        <v>3</v>
      </c>
      <c r="N37" s="3">
        <v>5</v>
      </c>
      <c r="O37" s="3">
        <v>5</v>
      </c>
      <c r="P37" s="3">
        <v>4</v>
      </c>
      <c r="Q37" s="3">
        <f t="shared" si="14"/>
        <v>51.849999999999994</v>
      </c>
      <c r="R37" s="3">
        <f t="shared" si="15"/>
        <v>50.850000000000009</v>
      </c>
      <c r="S37" s="3">
        <f t="shared" si="16"/>
        <v>17</v>
      </c>
      <c r="T37" s="3">
        <f t="shared" si="17"/>
        <v>85</v>
      </c>
      <c r="U37" s="4">
        <f t="shared" si="4"/>
        <v>45.129999999999995</v>
      </c>
      <c r="V37" s="4">
        <f t="shared" si="5"/>
        <v>59.75</v>
      </c>
      <c r="W37" s="4">
        <f t="shared" si="6"/>
        <v>48.054000000000002</v>
      </c>
      <c r="X37" s="4">
        <f t="shared" si="7"/>
        <v>34.545000000000002</v>
      </c>
      <c r="Y37" s="21">
        <f t="shared" si="8"/>
        <v>63.832499999999996</v>
      </c>
      <c r="Z37" s="4">
        <f t="shared" si="9"/>
        <v>62.383333333333326</v>
      </c>
      <c r="AA37" s="21">
        <f t="shared" si="10"/>
        <v>50.978000000000002</v>
      </c>
      <c r="AB37" s="4">
        <f t="shared" si="11"/>
        <v>53.807696666666665</v>
      </c>
      <c r="AC37" s="21">
        <f t="shared" si="12"/>
        <v>44.678900000000006</v>
      </c>
      <c r="AD37" s="21">
        <f t="shared" si="13"/>
        <v>53.024799999999999</v>
      </c>
    </row>
    <row r="38" spans="1:30" x14ac:dyDescent="0.3">
      <c r="A38" s="3" t="s">
        <v>56</v>
      </c>
      <c r="B38" s="3">
        <v>57</v>
      </c>
      <c r="C38" s="3">
        <v>34</v>
      </c>
      <c r="D38" s="3">
        <v>13</v>
      </c>
      <c r="E38" s="3">
        <v>21</v>
      </c>
      <c r="F38" s="3">
        <v>32</v>
      </c>
      <c r="G38" s="3">
        <v>90</v>
      </c>
      <c r="H38" s="3">
        <v>12</v>
      </c>
      <c r="I38" s="3">
        <v>77</v>
      </c>
      <c r="J38" s="3">
        <v>95</v>
      </c>
      <c r="K38" s="3">
        <v>37</v>
      </c>
      <c r="L38" s="3">
        <v>3</v>
      </c>
      <c r="M38" s="3">
        <v>3</v>
      </c>
      <c r="N38" s="3">
        <v>3</v>
      </c>
      <c r="O38" s="3">
        <v>4</v>
      </c>
      <c r="P38" s="3">
        <v>4</v>
      </c>
      <c r="Q38" s="3">
        <f t="shared" si="14"/>
        <v>24.8</v>
      </c>
      <c r="R38" s="3">
        <f t="shared" si="15"/>
        <v>63.35</v>
      </c>
      <c r="S38" s="3">
        <f t="shared" si="16"/>
        <v>14</v>
      </c>
      <c r="T38" s="3">
        <f t="shared" si="17"/>
        <v>70</v>
      </c>
      <c r="U38" s="4">
        <f t="shared" si="4"/>
        <v>28.765000000000001</v>
      </c>
      <c r="V38" s="4">
        <f t="shared" si="5"/>
        <v>47.112499999999997</v>
      </c>
      <c r="W38" s="4">
        <f t="shared" si="6"/>
        <v>32.4345</v>
      </c>
      <c r="X38" s="4">
        <f t="shared" si="7"/>
        <v>47.46</v>
      </c>
      <c r="Y38" s="21">
        <f t="shared" si="8"/>
        <v>55.141249999999999</v>
      </c>
      <c r="Z38" s="4">
        <f t="shared" si="9"/>
        <v>54.550000000000004</v>
      </c>
      <c r="AA38" s="21">
        <f t="shared" si="10"/>
        <v>36.103999999999999</v>
      </c>
      <c r="AB38" s="4">
        <f t="shared" si="11"/>
        <v>40.789915000000008</v>
      </c>
      <c r="AC38" s="21">
        <f t="shared" si="12"/>
        <v>58.965200000000003</v>
      </c>
      <c r="AD38" s="21">
        <f t="shared" si="13"/>
        <v>38.672649999999997</v>
      </c>
    </row>
    <row r="39" spans="1:30" x14ac:dyDescent="0.3">
      <c r="A39" s="3" t="s">
        <v>57</v>
      </c>
      <c r="B39" s="3">
        <v>53</v>
      </c>
      <c r="C39" s="3">
        <v>90</v>
      </c>
      <c r="D39" s="3">
        <v>32</v>
      </c>
      <c r="E39" s="3">
        <v>87</v>
      </c>
      <c r="F39" s="3">
        <v>66</v>
      </c>
      <c r="G39" s="3">
        <v>81</v>
      </c>
      <c r="H39" s="3">
        <v>31</v>
      </c>
      <c r="I39" s="3">
        <v>50</v>
      </c>
      <c r="J39" s="3">
        <v>23</v>
      </c>
      <c r="K39" s="3">
        <v>98</v>
      </c>
      <c r="L39" s="3">
        <v>14</v>
      </c>
      <c r="M39" s="3">
        <v>4</v>
      </c>
      <c r="N39" s="3">
        <v>4</v>
      </c>
      <c r="O39" s="3">
        <v>4</v>
      </c>
      <c r="P39" s="3">
        <v>2</v>
      </c>
      <c r="Q39" s="3">
        <f t="shared" si="14"/>
        <v>68.400000000000006</v>
      </c>
      <c r="R39" s="3">
        <f t="shared" si="15"/>
        <v>55.3</v>
      </c>
      <c r="S39" s="3">
        <f t="shared" si="16"/>
        <v>14</v>
      </c>
      <c r="T39" s="3">
        <f t="shared" si="17"/>
        <v>70</v>
      </c>
      <c r="U39" s="4">
        <f t="shared" si="4"/>
        <v>56.87</v>
      </c>
      <c r="V39" s="4">
        <f t="shared" si="5"/>
        <v>59.025000000000006</v>
      </c>
      <c r="W39" s="4">
        <f t="shared" si="6"/>
        <v>57.301000000000002</v>
      </c>
      <c r="X39" s="4">
        <f t="shared" si="7"/>
        <v>35.58</v>
      </c>
      <c r="Y39" s="21">
        <f t="shared" si="8"/>
        <v>60.767499999999998</v>
      </c>
      <c r="Z39" s="4">
        <f t="shared" si="9"/>
        <v>55.9</v>
      </c>
      <c r="AA39" s="21">
        <f t="shared" si="10"/>
        <v>57.732000000000006</v>
      </c>
      <c r="AB39" s="4">
        <f t="shared" si="11"/>
        <v>55.577070000000006</v>
      </c>
      <c r="AC39" s="21">
        <f t="shared" si="12"/>
        <v>40.261600000000001</v>
      </c>
      <c r="AD39" s="21">
        <f t="shared" si="13"/>
        <v>58.033700000000003</v>
      </c>
    </row>
    <row r="40" spans="1:30" x14ac:dyDescent="0.3">
      <c r="A40" s="3" t="s">
        <v>58</v>
      </c>
      <c r="B40" s="3">
        <v>10</v>
      </c>
      <c r="C40" s="3">
        <v>16</v>
      </c>
      <c r="D40" s="3">
        <v>94</v>
      </c>
      <c r="E40" s="3">
        <v>20</v>
      </c>
      <c r="F40" s="3">
        <v>48</v>
      </c>
      <c r="G40" s="3">
        <v>3</v>
      </c>
      <c r="H40" s="3">
        <v>11</v>
      </c>
      <c r="I40" s="3">
        <v>55</v>
      </c>
      <c r="J40" s="3">
        <v>68</v>
      </c>
      <c r="K40" s="3">
        <v>97</v>
      </c>
      <c r="L40" s="3">
        <v>4</v>
      </c>
      <c r="M40" s="3">
        <v>3</v>
      </c>
      <c r="N40" s="3">
        <v>4</v>
      </c>
      <c r="O40" s="3">
        <v>3</v>
      </c>
      <c r="P40" s="3">
        <v>5</v>
      </c>
      <c r="Q40" s="3">
        <f t="shared" si="14"/>
        <v>45</v>
      </c>
      <c r="R40" s="3">
        <f t="shared" si="15"/>
        <v>34.550000000000004</v>
      </c>
      <c r="S40" s="3">
        <f t="shared" si="16"/>
        <v>15</v>
      </c>
      <c r="T40" s="3">
        <f t="shared" si="17"/>
        <v>75</v>
      </c>
      <c r="U40" s="4">
        <f t="shared" si="4"/>
        <v>50.224999999999994</v>
      </c>
      <c r="V40" s="4">
        <f t="shared" si="5"/>
        <v>48.862499999999997</v>
      </c>
      <c r="W40" s="4">
        <f t="shared" si="6"/>
        <v>49.952500000000001</v>
      </c>
      <c r="X40" s="4">
        <f t="shared" si="7"/>
        <v>53.5</v>
      </c>
      <c r="Y40" s="21">
        <f t="shared" si="8"/>
        <v>46.056249999999999</v>
      </c>
      <c r="Z40" s="4">
        <f t="shared" si="9"/>
        <v>50.15</v>
      </c>
      <c r="AA40" s="21">
        <f t="shared" si="10"/>
        <v>49.68</v>
      </c>
      <c r="AB40" s="4">
        <f t="shared" si="11"/>
        <v>52.568175000000004</v>
      </c>
      <c r="AC40" s="21">
        <f t="shared" si="12"/>
        <v>51.274000000000001</v>
      </c>
      <c r="AD40" s="21">
        <f t="shared" si="13"/>
        <v>49.489249999999998</v>
      </c>
    </row>
    <row r="41" spans="1:30" x14ac:dyDescent="0.3">
      <c r="A41" s="3" t="s">
        <v>59</v>
      </c>
      <c r="B41" s="3">
        <v>72</v>
      </c>
      <c r="C41" s="3">
        <v>97</v>
      </c>
      <c r="D41" s="3">
        <v>43</v>
      </c>
      <c r="E41" s="3">
        <v>95</v>
      </c>
      <c r="F41" s="3">
        <v>19</v>
      </c>
      <c r="G41" s="3">
        <v>69</v>
      </c>
      <c r="H41" s="3">
        <v>16</v>
      </c>
      <c r="I41" s="3">
        <v>58</v>
      </c>
      <c r="J41" s="3">
        <v>37</v>
      </c>
      <c r="K41" s="3">
        <v>55</v>
      </c>
      <c r="L41" s="3">
        <v>3</v>
      </c>
      <c r="M41" s="3">
        <v>2</v>
      </c>
      <c r="N41" s="3">
        <v>1</v>
      </c>
      <c r="O41" s="3">
        <v>5</v>
      </c>
      <c r="P41" s="3">
        <v>1</v>
      </c>
      <c r="Q41" s="3">
        <f t="shared" si="14"/>
        <v>68.699999999999989</v>
      </c>
      <c r="R41" s="3">
        <f t="shared" si="15"/>
        <v>47.349999999999994</v>
      </c>
      <c r="S41" s="3">
        <f t="shared" si="16"/>
        <v>9</v>
      </c>
      <c r="T41" s="3">
        <f t="shared" si="17"/>
        <v>45</v>
      </c>
      <c r="U41" s="4">
        <f t="shared" si="4"/>
        <v>49.935000000000002</v>
      </c>
      <c r="V41" s="4">
        <f t="shared" si="5"/>
        <v>59.587499999999999</v>
      </c>
      <c r="W41" s="4">
        <f t="shared" si="6"/>
        <v>51.865500000000011</v>
      </c>
      <c r="X41" s="4">
        <f t="shared" si="7"/>
        <v>39.790000000000006</v>
      </c>
      <c r="Y41" s="21">
        <f t="shared" si="8"/>
        <v>55.683750000000003</v>
      </c>
      <c r="Z41" s="4">
        <f t="shared" si="9"/>
        <v>56.550000000000004</v>
      </c>
      <c r="AA41" s="21">
        <f t="shared" si="10"/>
        <v>53.796000000000014</v>
      </c>
      <c r="AB41" s="4">
        <f t="shared" si="11"/>
        <v>54.24958500000001</v>
      </c>
      <c r="AC41" s="21">
        <f t="shared" si="12"/>
        <v>44.279800000000002</v>
      </c>
      <c r="AD41" s="21">
        <f t="shared" si="13"/>
        <v>55.147349999999996</v>
      </c>
    </row>
    <row r="42" spans="1:30" x14ac:dyDescent="0.3">
      <c r="A42" s="3" t="s">
        <v>60</v>
      </c>
      <c r="B42" s="3">
        <v>67</v>
      </c>
      <c r="C42" s="3">
        <v>18</v>
      </c>
      <c r="D42" s="3">
        <v>52</v>
      </c>
      <c r="E42" s="3">
        <v>45</v>
      </c>
      <c r="F42" s="3">
        <v>75</v>
      </c>
      <c r="G42" s="3">
        <v>85</v>
      </c>
      <c r="H42" s="3">
        <v>75</v>
      </c>
      <c r="I42" s="3">
        <v>76</v>
      </c>
      <c r="J42" s="3">
        <v>95</v>
      </c>
      <c r="K42" s="3">
        <v>51</v>
      </c>
      <c r="L42" s="3">
        <v>20</v>
      </c>
      <c r="M42" s="3">
        <v>1</v>
      </c>
      <c r="N42" s="3">
        <v>2</v>
      </c>
      <c r="O42" s="3">
        <v>4</v>
      </c>
      <c r="P42" s="3">
        <v>3</v>
      </c>
      <c r="Q42" s="3">
        <f t="shared" si="14"/>
        <v>42.15</v>
      </c>
      <c r="R42" s="3">
        <f t="shared" si="15"/>
        <v>78.8</v>
      </c>
      <c r="S42" s="3">
        <f t="shared" si="16"/>
        <v>10</v>
      </c>
      <c r="T42" s="3">
        <f t="shared" si="17"/>
        <v>50</v>
      </c>
      <c r="U42" s="4">
        <f t="shared" si="4"/>
        <v>43.244999999999997</v>
      </c>
      <c r="V42" s="4">
        <f t="shared" si="5"/>
        <v>45.087499999999999</v>
      </c>
      <c r="W42" s="4">
        <f t="shared" si="6"/>
        <v>43.613499999999995</v>
      </c>
      <c r="X42" s="4">
        <f t="shared" si="7"/>
        <v>47.255000000000003</v>
      </c>
      <c r="Y42" s="21">
        <f t="shared" si="8"/>
        <v>54.261250000000004</v>
      </c>
      <c r="Z42" s="4">
        <f t="shared" si="9"/>
        <v>46.066666666666663</v>
      </c>
      <c r="AA42" s="21">
        <f t="shared" si="10"/>
        <v>43.981999999999999</v>
      </c>
      <c r="AB42" s="4">
        <f t="shared" si="11"/>
        <v>40.998528333333333</v>
      </c>
      <c r="AC42" s="21">
        <f t="shared" si="12"/>
        <v>53.389100000000006</v>
      </c>
      <c r="AD42" s="21">
        <f t="shared" si="13"/>
        <v>44.239949999999993</v>
      </c>
    </row>
    <row r="43" spans="1:30" x14ac:dyDescent="0.3">
      <c r="A43" s="3" t="s">
        <v>61</v>
      </c>
      <c r="B43" s="3">
        <v>51</v>
      </c>
      <c r="C43" s="3">
        <v>23</v>
      </c>
      <c r="D43" s="3">
        <v>64</v>
      </c>
      <c r="E43" s="3">
        <v>62</v>
      </c>
      <c r="F43" s="3">
        <v>31</v>
      </c>
      <c r="G43" s="3">
        <v>53</v>
      </c>
      <c r="H43" s="3">
        <v>42</v>
      </c>
      <c r="I43" s="3">
        <v>9</v>
      </c>
      <c r="J43" s="3">
        <v>73</v>
      </c>
      <c r="K43" s="3">
        <v>48</v>
      </c>
      <c r="L43" s="3">
        <v>17</v>
      </c>
      <c r="M43" s="3">
        <v>4</v>
      </c>
      <c r="N43" s="3">
        <v>5</v>
      </c>
      <c r="O43" s="3">
        <v>2</v>
      </c>
      <c r="P43" s="3">
        <v>5</v>
      </c>
      <c r="Q43" s="3">
        <f t="shared" si="14"/>
        <v>44.3</v>
      </c>
      <c r="R43" s="3">
        <f t="shared" si="15"/>
        <v>43.95</v>
      </c>
      <c r="S43" s="3">
        <f t="shared" si="16"/>
        <v>16</v>
      </c>
      <c r="T43" s="3">
        <f t="shared" si="17"/>
        <v>80</v>
      </c>
      <c r="U43" s="4">
        <f t="shared" si="4"/>
        <v>58.314999999999998</v>
      </c>
      <c r="V43" s="4">
        <f t="shared" si="5"/>
        <v>57.837499999999999</v>
      </c>
      <c r="W43" s="4">
        <f t="shared" si="6"/>
        <v>58.219500000000004</v>
      </c>
      <c r="X43" s="4">
        <f t="shared" si="7"/>
        <v>39.409999999999997</v>
      </c>
      <c r="Y43" s="21">
        <f t="shared" si="8"/>
        <v>64.428749999999994</v>
      </c>
      <c r="Z43" s="4">
        <f t="shared" si="9"/>
        <v>62.35</v>
      </c>
      <c r="AA43" s="21">
        <f t="shared" si="10"/>
        <v>58.124000000000002</v>
      </c>
      <c r="AB43" s="4">
        <f t="shared" si="11"/>
        <v>58.965365000000006</v>
      </c>
      <c r="AC43" s="21">
        <f t="shared" si="12"/>
        <v>41.136199999999995</v>
      </c>
      <c r="AD43" s="21">
        <f t="shared" si="13"/>
        <v>58.05715</v>
      </c>
    </row>
    <row r="44" spans="1:30" x14ac:dyDescent="0.3">
      <c r="A44" s="3" t="s">
        <v>62</v>
      </c>
      <c r="B44" s="3">
        <v>40</v>
      </c>
      <c r="C44" s="3">
        <v>27</v>
      </c>
      <c r="D44" s="3">
        <v>86</v>
      </c>
      <c r="E44" s="3">
        <v>30</v>
      </c>
      <c r="F44" s="3">
        <v>51</v>
      </c>
      <c r="G44" s="3">
        <v>42</v>
      </c>
      <c r="H44" s="3">
        <v>65</v>
      </c>
      <c r="I44" s="3">
        <v>35</v>
      </c>
      <c r="J44" s="3">
        <v>2</v>
      </c>
      <c r="K44" s="3">
        <v>44</v>
      </c>
      <c r="L44" s="3">
        <v>8</v>
      </c>
      <c r="M44" s="3">
        <v>4</v>
      </c>
      <c r="N44" s="3">
        <v>1</v>
      </c>
      <c r="O44" s="3">
        <v>2</v>
      </c>
      <c r="P44" s="3">
        <v>1</v>
      </c>
      <c r="Q44" s="3">
        <f t="shared" si="14"/>
        <v>48.9</v>
      </c>
      <c r="R44" s="3">
        <f t="shared" si="15"/>
        <v>40.549999999999997</v>
      </c>
      <c r="S44" s="3">
        <f t="shared" si="16"/>
        <v>8</v>
      </c>
      <c r="T44" s="3">
        <f t="shared" si="17"/>
        <v>40</v>
      </c>
      <c r="U44" s="4">
        <f t="shared" si="4"/>
        <v>52.394999999999996</v>
      </c>
      <c r="V44" s="4">
        <f t="shared" si="5"/>
        <v>47.087499999999999</v>
      </c>
      <c r="W44" s="4">
        <f t="shared" si="6"/>
        <v>51.333500000000001</v>
      </c>
      <c r="X44" s="4">
        <f t="shared" si="7"/>
        <v>57.33</v>
      </c>
      <c r="Y44" s="21">
        <f t="shared" si="8"/>
        <v>43.098749999999995</v>
      </c>
      <c r="Z44" s="4">
        <f t="shared" si="9"/>
        <v>46.483333333333327</v>
      </c>
      <c r="AA44" s="21">
        <f t="shared" si="10"/>
        <v>50.271999999999991</v>
      </c>
      <c r="AB44" s="4">
        <f t="shared" si="11"/>
        <v>50.666011666666662</v>
      </c>
      <c r="AC44" s="21">
        <f t="shared" si="12"/>
        <v>52.008600000000001</v>
      </c>
      <c r="AD44" s="21">
        <f t="shared" si="13"/>
        <v>49.528949999999995</v>
      </c>
    </row>
    <row r="45" spans="1:30" x14ac:dyDescent="0.3">
      <c r="A45" s="3" t="s">
        <v>63</v>
      </c>
      <c r="B45" s="3">
        <v>77</v>
      </c>
      <c r="C45" s="3">
        <v>29</v>
      </c>
      <c r="D45" s="3">
        <v>49</v>
      </c>
      <c r="E45" s="3">
        <v>95</v>
      </c>
      <c r="F45" s="3">
        <v>69</v>
      </c>
      <c r="G45" s="3">
        <v>58</v>
      </c>
      <c r="H45" s="3">
        <v>58</v>
      </c>
      <c r="I45" s="3">
        <v>52</v>
      </c>
      <c r="J45" s="3">
        <v>55</v>
      </c>
      <c r="K45" s="3">
        <v>76</v>
      </c>
      <c r="L45" s="3">
        <v>11</v>
      </c>
      <c r="M45" s="3">
        <v>2</v>
      </c>
      <c r="N45" s="3">
        <v>5</v>
      </c>
      <c r="O45" s="3">
        <v>1</v>
      </c>
      <c r="P45" s="3">
        <v>5</v>
      </c>
      <c r="Q45" s="3">
        <f t="shared" si="14"/>
        <v>54.199999999999996</v>
      </c>
      <c r="R45" s="3">
        <f t="shared" si="15"/>
        <v>58.15</v>
      </c>
      <c r="S45" s="3">
        <f t="shared" si="16"/>
        <v>13</v>
      </c>
      <c r="T45" s="3">
        <f t="shared" si="17"/>
        <v>65</v>
      </c>
      <c r="U45" s="4">
        <f t="shared" si="4"/>
        <v>48.185000000000002</v>
      </c>
      <c r="V45" s="4">
        <f t="shared" si="5"/>
        <v>59.512500000000003</v>
      </c>
      <c r="W45" s="4">
        <f t="shared" si="6"/>
        <v>50.450500000000005</v>
      </c>
      <c r="X45" s="4">
        <f t="shared" si="7"/>
        <v>34.64</v>
      </c>
      <c r="Y45" s="21">
        <f t="shared" si="8"/>
        <v>64.996250000000003</v>
      </c>
      <c r="Z45" s="4">
        <f t="shared" si="9"/>
        <v>61.283333333333331</v>
      </c>
      <c r="AA45" s="21">
        <f t="shared" si="10"/>
        <v>52.716000000000008</v>
      </c>
      <c r="AB45" s="4">
        <f t="shared" si="11"/>
        <v>53.178701666666669</v>
      </c>
      <c r="AC45" s="21">
        <f t="shared" si="12"/>
        <v>43.4908</v>
      </c>
      <c r="AD45" s="21">
        <f t="shared" si="13"/>
        <v>54.301850000000002</v>
      </c>
    </row>
    <row r="46" spans="1:30" x14ac:dyDescent="0.3">
      <c r="A46" s="3" t="s">
        <v>64</v>
      </c>
      <c r="B46" s="3">
        <v>16</v>
      </c>
      <c r="C46" s="3">
        <v>82</v>
      </c>
      <c r="D46" s="3">
        <v>91</v>
      </c>
      <c r="E46" s="3">
        <v>99</v>
      </c>
      <c r="F46" s="3">
        <v>46</v>
      </c>
      <c r="G46" s="3">
        <v>69</v>
      </c>
      <c r="H46" s="3">
        <v>49</v>
      </c>
      <c r="I46" s="3">
        <v>83</v>
      </c>
      <c r="J46" s="3">
        <v>70</v>
      </c>
      <c r="K46" s="3">
        <v>66</v>
      </c>
      <c r="L46" s="3">
        <v>20</v>
      </c>
      <c r="M46" s="3">
        <v>5</v>
      </c>
      <c r="N46" s="3">
        <v>1</v>
      </c>
      <c r="O46" s="3">
        <v>2</v>
      </c>
      <c r="P46" s="3">
        <v>5</v>
      </c>
      <c r="Q46" s="3">
        <f t="shared" si="14"/>
        <v>82.7</v>
      </c>
      <c r="R46" s="3">
        <f t="shared" si="15"/>
        <v>66.650000000000006</v>
      </c>
      <c r="S46" s="3">
        <f t="shared" si="16"/>
        <v>13</v>
      </c>
      <c r="T46" s="3">
        <f t="shared" si="17"/>
        <v>65</v>
      </c>
      <c r="U46" s="4">
        <f t="shared" si="4"/>
        <v>61.484999999999999</v>
      </c>
      <c r="V46" s="4">
        <f t="shared" si="5"/>
        <v>49.262500000000003</v>
      </c>
      <c r="W46" s="4">
        <f t="shared" si="6"/>
        <v>59.040500000000002</v>
      </c>
      <c r="X46" s="4">
        <f t="shared" si="7"/>
        <v>44.39</v>
      </c>
      <c r="Y46" s="21">
        <f t="shared" si="8"/>
        <v>46.971249999999998</v>
      </c>
      <c r="Z46" s="4">
        <f t="shared" si="9"/>
        <v>38.116666666666667</v>
      </c>
      <c r="AA46" s="21">
        <f t="shared" si="10"/>
        <v>56.596000000000004</v>
      </c>
      <c r="AB46" s="4">
        <f t="shared" si="11"/>
        <v>49.154168333333331</v>
      </c>
      <c r="AC46" s="21">
        <f t="shared" si="12"/>
        <v>43.699800000000003</v>
      </c>
      <c r="AD46" s="21">
        <f t="shared" si="13"/>
        <v>54.884850000000007</v>
      </c>
    </row>
    <row r="47" spans="1:30" x14ac:dyDescent="0.3">
      <c r="A47" s="3" t="s">
        <v>65</v>
      </c>
      <c r="B47" s="3">
        <v>59</v>
      </c>
      <c r="C47" s="3">
        <v>70</v>
      </c>
      <c r="D47" s="3">
        <v>65</v>
      </c>
      <c r="E47" s="3">
        <v>58</v>
      </c>
      <c r="F47" s="3">
        <v>85</v>
      </c>
      <c r="G47" s="3">
        <v>44</v>
      </c>
      <c r="H47" s="3">
        <v>65</v>
      </c>
      <c r="I47" s="3">
        <v>87</v>
      </c>
      <c r="J47" s="3">
        <v>55</v>
      </c>
      <c r="K47" s="3">
        <v>1</v>
      </c>
      <c r="L47" s="3">
        <v>20</v>
      </c>
      <c r="M47" s="3">
        <v>2</v>
      </c>
      <c r="N47" s="3">
        <v>4</v>
      </c>
      <c r="O47" s="3">
        <v>2</v>
      </c>
      <c r="P47" s="3">
        <v>4</v>
      </c>
      <c r="Q47" s="3">
        <f t="shared" si="14"/>
        <v>68.349999999999994</v>
      </c>
      <c r="R47" s="3">
        <f t="shared" si="15"/>
        <v>55.2</v>
      </c>
      <c r="S47" s="3">
        <f t="shared" si="16"/>
        <v>12</v>
      </c>
      <c r="T47" s="3">
        <f t="shared" si="17"/>
        <v>60</v>
      </c>
      <c r="U47" s="4">
        <f t="shared" si="4"/>
        <v>62.904999999999994</v>
      </c>
      <c r="V47" s="4">
        <f t="shared" si="5"/>
        <v>58.037499999999994</v>
      </c>
      <c r="W47" s="4">
        <f t="shared" si="6"/>
        <v>61.9315</v>
      </c>
      <c r="X47" s="4">
        <f t="shared" si="7"/>
        <v>37.795000000000002</v>
      </c>
      <c r="Y47" s="21">
        <f t="shared" si="8"/>
        <v>60.376249999999999</v>
      </c>
      <c r="Z47" s="4">
        <f t="shared" si="9"/>
        <v>54.6</v>
      </c>
      <c r="AA47" s="21">
        <f t="shared" si="10"/>
        <v>60.957999999999998</v>
      </c>
      <c r="AB47" s="4">
        <f t="shared" si="11"/>
        <v>57.060455000000005</v>
      </c>
      <c r="AC47" s="21">
        <f t="shared" si="12"/>
        <v>38.667899999999996</v>
      </c>
      <c r="AD47" s="21">
        <f t="shared" si="13"/>
        <v>60.276549999999993</v>
      </c>
    </row>
    <row r="48" spans="1:30" x14ac:dyDescent="0.3">
      <c r="A48" s="3" t="s">
        <v>66</v>
      </c>
      <c r="B48" s="3">
        <v>96</v>
      </c>
      <c r="C48" s="3">
        <v>90</v>
      </c>
      <c r="D48" s="3">
        <v>56</v>
      </c>
      <c r="E48" s="3">
        <v>63</v>
      </c>
      <c r="F48" s="3">
        <v>19</v>
      </c>
      <c r="G48" s="3">
        <v>90</v>
      </c>
      <c r="H48" s="3">
        <v>71</v>
      </c>
      <c r="I48" s="3">
        <v>68</v>
      </c>
      <c r="J48" s="3">
        <v>44</v>
      </c>
      <c r="K48" s="3">
        <v>61</v>
      </c>
      <c r="L48" s="3">
        <v>7</v>
      </c>
      <c r="M48" s="3">
        <v>2</v>
      </c>
      <c r="N48" s="3">
        <v>3</v>
      </c>
      <c r="O48" s="3">
        <v>4</v>
      </c>
      <c r="P48" s="3">
        <v>1</v>
      </c>
      <c r="Q48" s="3">
        <f t="shared" si="14"/>
        <v>63.75</v>
      </c>
      <c r="R48" s="3">
        <f t="shared" si="15"/>
        <v>71.05</v>
      </c>
      <c r="S48" s="3">
        <f t="shared" si="16"/>
        <v>10</v>
      </c>
      <c r="T48" s="3">
        <f t="shared" si="17"/>
        <v>50</v>
      </c>
      <c r="U48" s="4">
        <f t="shared" si="4"/>
        <v>40.6</v>
      </c>
      <c r="V48" s="4">
        <f t="shared" si="5"/>
        <v>59.674999999999997</v>
      </c>
      <c r="W48" s="4">
        <f t="shared" si="6"/>
        <v>44.415000000000006</v>
      </c>
      <c r="X48" s="4">
        <f t="shared" si="7"/>
        <v>32.075000000000003</v>
      </c>
      <c r="Y48" s="21">
        <f t="shared" si="8"/>
        <v>63.749999999999993</v>
      </c>
      <c r="Z48" s="4">
        <f t="shared" si="9"/>
        <v>58.316666666666663</v>
      </c>
      <c r="AA48" s="21">
        <f t="shared" si="10"/>
        <v>48.23</v>
      </c>
      <c r="AB48" s="4">
        <f t="shared" si="11"/>
        <v>47.705133333333329</v>
      </c>
      <c r="AC48" s="21">
        <f t="shared" si="12"/>
        <v>45.861499999999992</v>
      </c>
      <c r="AD48" s="21">
        <f t="shared" si="13"/>
        <v>50.900500000000001</v>
      </c>
    </row>
    <row r="49" spans="1:30" x14ac:dyDescent="0.3">
      <c r="A49" s="3" t="s">
        <v>67</v>
      </c>
      <c r="B49" s="3">
        <v>20</v>
      </c>
      <c r="C49" s="3">
        <v>7</v>
      </c>
      <c r="D49" s="3">
        <v>41</v>
      </c>
      <c r="E49" s="3">
        <v>60</v>
      </c>
      <c r="F49" s="3">
        <v>54</v>
      </c>
      <c r="G49" s="3">
        <v>40</v>
      </c>
      <c r="H49" s="3">
        <v>1</v>
      </c>
      <c r="I49" s="3">
        <v>23</v>
      </c>
      <c r="J49" s="3">
        <v>63</v>
      </c>
      <c r="K49" s="3">
        <v>78</v>
      </c>
      <c r="L49" s="3">
        <v>2</v>
      </c>
      <c r="M49" s="3">
        <v>3</v>
      </c>
      <c r="N49" s="3">
        <v>2</v>
      </c>
      <c r="O49" s="3">
        <v>5</v>
      </c>
      <c r="P49" s="3">
        <v>2</v>
      </c>
      <c r="Q49" s="3">
        <f t="shared" si="14"/>
        <v>34.85</v>
      </c>
      <c r="R49" s="3">
        <f t="shared" si="15"/>
        <v>34.1</v>
      </c>
      <c r="S49" s="3">
        <f t="shared" si="16"/>
        <v>12</v>
      </c>
      <c r="T49" s="3">
        <f t="shared" si="17"/>
        <v>60</v>
      </c>
      <c r="U49" s="4">
        <f t="shared" si="4"/>
        <v>45.405000000000001</v>
      </c>
      <c r="V49" s="4">
        <f t="shared" si="5"/>
        <v>45.1875</v>
      </c>
      <c r="W49" s="4">
        <f t="shared" si="6"/>
        <v>45.361500000000007</v>
      </c>
      <c r="X49" s="4">
        <f t="shared" si="7"/>
        <v>59.545000000000002</v>
      </c>
      <c r="Y49" s="21">
        <f t="shared" si="8"/>
        <v>42.35125</v>
      </c>
      <c r="Z49" s="4">
        <f t="shared" si="9"/>
        <v>48.633333333333333</v>
      </c>
      <c r="AA49" s="21">
        <f t="shared" si="10"/>
        <v>45.318000000000005</v>
      </c>
      <c r="AB49" s="4">
        <f t="shared" si="11"/>
        <v>49.386721666666666</v>
      </c>
      <c r="AC49" s="21">
        <f t="shared" si="12"/>
        <v>56.140899999999995</v>
      </c>
      <c r="AD49" s="21">
        <f t="shared" si="13"/>
        <v>45.287549999999996</v>
      </c>
    </row>
    <row r="50" spans="1:30" x14ac:dyDescent="0.3">
      <c r="A50" s="3" t="s">
        <v>68</v>
      </c>
      <c r="B50" s="3">
        <v>95</v>
      </c>
      <c r="C50" s="3">
        <v>84</v>
      </c>
      <c r="D50" s="3">
        <v>27</v>
      </c>
      <c r="E50" s="3">
        <v>31</v>
      </c>
      <c r="F50" s="3">
        <v>74</v>
      </c>
      <c r="G50" s="3">
        <v>19</v>
      </c>
      <c r="H50" s="3">
        <v>75</v>
      </c>
      <c r="I50" s="3">
        <v>43</v>
      </c>
      <c r="J50" s="3">
        <v>65</v>
      </c>
      <c r="K50" s="3">
        <v>48</v>
      </c>
      <c r="L50" s="3">
        <v>4</v>
      </c>
      <c r="M50" s="3">
        <v>1</v>
      </c>
      <c r="N50" s="3">
        <v>5</v>
      </c>
      <c r="O50" s="3">
        <v>2</v>
      </c>
      <c r="P50" s="3">
        <v>3</v>
      </c>
      <c r="Q50" s="3">
        <f t="shared" si="14"/>
        <v>54.800000000000004</v>
      </c>
      <c r="R50" s="3">
        <f t="shared" si="15"/>
        <v>47.599999999999994</v>
      </c>
      <c r="S50" s="3">
        <f t="shared" si="16"/>
        <v>11</v>
      </c>
      <c r="T50" s="3">
        <f t="shared" si="17"/>
        <v>55.000000000000007</v>
      </c>
      <c r="U50" s="4">
        <f t="shared" si="4"/>
        <v>46.64</v>
      </c>
      <c r="V50" s="4">
        <f t="shared" si="5"/>
        <v>64.300000000000011</v>
      </c>
      <c r="W50" s="4">
        <f t="shared" si="6"/>
        <v>50.172000000000011</v>
      </c>
      <c r="X50" s="4">
        <f t="shared" si="7"/>
        <v>33.059999999999995</v>
      </c>
      <c r="Y50" s="21">
        <f t="shared" si="8"/>
        <v>66.91</v>
      </c>
      <c r="Z50" s="4">
        <f t="shared" si="9"/>
        <v>67.466666666666669</v>
      </c>
      <c r="AA50" s="21">
        <f t="shared" si="10"/>
        <v>53.704000000000008</v>
      </c>
      <c r="AB50" s="4">
        <f t="shared" si="11"/>
        <v>56.662373333333342</v>
      </c>
      <c r="AC50" s="21">
        <f t="shared" si="12"/>
        <v>42.325199999999995</v>
      </c>
      <c r="AD50" s="21">
        <f t="shared" si="13"/>
        <v>56.176400000000008</v>
      </c>
    </row>
    <row r="51" spans="1:30" x14ac:dyDescent="0.3">
      <c r="A51" s="3" t="s">
        <v>69</v>
      </c>
      <c r="B51" s="3">
        <v>40</v>
      </c>
      <c r="C51" s="3">
        <v>88</v>
      </c>
      <c r="D51" s="3">
        <v>88</v>
      </c>
      <c r="E51" s="3">
        <v>85</v>
      </c>
      <c r="F51" s="3">
        <v>58</v>
      </c>
      <c r="G51" s="3">
        <v>33</v>
      </c>
      <c r="H51" s="3">
        <v>80</v>
      </c>
      <c r="I51" s="3">
        <v>84</v>
      </c>
      <c r="J51" s="3">
        <v>45</v>
      </c>
      <c r="K51" s="3">
        <v>84</v>
      </c>
      <c r="L51" s="3">
        <v>16</v>
      </c>
      <c r="M51" s="3">
        <v>2</v>
      </c>
      <c r="N51" s="3">
        <v>5</v>
      </c>
      <c r="O51" s="3">
        <v>5</v>
      </c>
      <c r="P51" s="3">
        <v>4</v>
      </c>
      <c r="Q51" s="3">
        <f t="shared" si="14"/>
        <v>82.899999999999991</v>
      </c>
      <c r="R51" s="3">
        <f t="shared" si="15"/>
        <v>61.85</v>
      </c>
      <c r="S51" s="3">
        <f t="shared" si="16"/>
        <v>16</v>
      </c>
      <c r="T51" s="3">
        <f t="shared" si="17"/>
        <v>80</v>
      </c>
      <c r="U51" s="4">
        <f t="shared" si="4"/>
        <v>59.944999999999993</v>
      </c>
      <c r="V51" s="4">
        <f t="shared" si="5"/>
        <v>60.262499999999996</v>
      </c>
      <c r="W51" s="4">
        <f t="shared" si="6"/>
        <v>60.008499999999998</v>
      </c>
      <c r="X51" s="4">
        <f t="shared" si="7"/>
        <v>31.130000000000003</v>
      </c>
      <c r="Y51" s="21">
        <f t="shared" si="8"/>
        <v>60.986249999999998</v>
      </c>
      <c r="Z51" s="4">
        <f t="shared" si="9"/>
        <v>52.716666666666669</v>
      </c>
      <c r="AA51" s="21">
        <f t="shared" si="10"/>
        <v>60.071999999999996</v>
      </c>
      <c r="AB51" s="4">
        <f t="shared" si="11"/>
        <v>55.50892833333333</v>
      </c>
      <c r="AC51" s="21">
        <f t="shared" si="12"/>
        <v>37.288600000000002</v>
      </c>
      <c r="AD51" s="21">
        <f t="shared" si="13"/>
        <v>60.116449999999993</v>
      </c>
    </row>
    <row r="52" spans="1:30" x14ac:dyDescent="0.3">
      <c r="A52" s="3" t="s">
        <v>70</v>
      </c>
      <c r="B52" s="3">
        <v>77</v>
      </c>
      <c r="C52" s="3">
        <v>13</v>
      </c>
      <c r="D52" s="3">
        <v>56</v>
      </c>
      <c r="E52" s="3">
        <v>36</v>
      </c>
      <c r="F52" s="3">
        <v>82</v>
      </c>
      <c r="G52" s="3">
        <v>48</v>
      </c>
      <c r="H52" s="3">
        <v>12</v>
      </c>
      <c r="I52" s="3">
        <v>71</v>
      </c>
      <c r="J52" s="3">
        <v>25</v>
      </c>
      <c r="K52" s="3">
        <v>78</v>
      </c>
      <c r="L52" s="3">
        <v>7</v>
      </c>
      <c r="M52" s="3">
        <v>2</v>
      </c>
      <c r="N52" s="3">
        <v>5</v>
      </c>
      <c r="O52" s="3">
        <v>2</v>
      </c>
      <c r="P52" s="3">
        <v>3</v>
      </c>
      <c r="Q52" s="3">
        <f t="shared" si="14"/>
        <v>40.85</v>
      </c>
      <c r="R52" s="3">
        <f t="shared" si="15"/>
        <v>43.150000000000006</v>
      </c>
      <c r="S52" s="3">
        <f t="shared" si="16"/>
        <v>12</v>
      </c>
      <c r="T52" s="3">
        <f t="shared" si="17"/>
        <v>60</v>
      </c>
      <c r="U52" s="4">
        <f t="shared" si="4"/>
        <v>47.68</v>
      </c>
      <c r="V52" s="4">
        <f t="shared" si="5"/>
        <v>58.674999999999997</v>
      </c>
      <c r="W52" s="4">
        <f t="shared" si="6"/>
        <v>49.878999999999998</v>
      </c>
      <c r="X52" s="4">
        <f t="shared" si="7"/>
        <v>40.644999999999996</v>
      </c>
      <c r="Y52" s="21">
        <f t="shared" si="8"/>
        <v>62.870000000000005</v>
      </c>
      <c r="Z52" s="4">
        <f t="shared" si="9"/>
        <v>64.61666666666666</v>
      </c>
      <c r="AA52" s="21">
        <f t="shared" si="10"/>
        <v>52.077999999999996</v>
      </c>
      <c r="AB52" s="4">
        <f t="shared" si="11"/>
        <v>55.686113333333331</v>
      </c>
      <c r="AC52" s="21">
        <f t="shared" si="12"/>
        <v>45.738900000000001</v>
      </c>
      <c r="AD52" s="21">
        <f t="shared" si="13"/>
        <v>53.6173</v>
      </c>
    </row>
    <row r="53" spans="1:30" x14ac:dyDescent="0.3">
      <c r="A53" s="3" t="s">
        <v>71</v>
      </c>
      <c r="B53" s="3">
        <v>48</v>
      </c>
      <c r="C53" s="3">
        <v>31</v>
      </c>
      <c r="D53" s="3">
        <v>20</v>
      </c>
      <c r="E53" s="3">
        <v>24</v>
      </c>
      <c r="F53" s="3">
        <v>3</v>
      </c>
      <c r="G53" s="3">
        <v>51</v>
      </c>
      <c r="H53" s="3">
        <v>71</v>
      </c>
      <c r="I53" s="3">
        <v>77</v>
      </c>
      <c r="J53" s="3">
        <v>68</v>
      </c>
      <c r="K53" s="3">
        <v>70</v>
      </c>
      <c r="L53" s="3">
        <v>15</v>
      </c>
      <c r="M53" s="3">
        <v>2</v>
      </c>
      <c r="N53" s="3">
        <v>5</v>
      </c>
      <c r="O53" s="3">
        <v>1</v>
      </c>
      <c r="P53" s="3">
        <v>5</v>
      </c>
      <c r="Q53" s="3">
        <f t="shared" si="14"/>
        <v>22.1</v>
      </c>
      <c r="R53" s="3">
        <f t="shared" si="15"/>
        <v>65.649999999999991</v>
      </c>
      <c r="S53" s="3">
        <f t="shared" si="16"/>
        <v>13</v>
      </c>
      <c r="T53" s="3">
        <f t="shared" si="17"/>
        <v>65</v>
      </c>
      <c r="U53" s="4">
        <f t="shared" si="4"/>
        <v>38.805000000000007</v>
      </c>
      <c r="V53" s="4">
        <f t="shared" si="5"/>
        <v>42.362500000000004</v>
      </c>
      <c r="W53" s="4">
        <f t="shared" si="6"/>
        <v>39.516500000000008</v>
      </c>
      <c r="X53" s="4">
        <f t="shared" si="7"/>
        <v>52.97</v>
      </c>
      <c r="Y53" s="21">
        <f t="shared" si="8"/>
        <v>52.501249999999999</v>
      </c>
      <c r="Z53" s="4">
        <f t="shared" si="9"/>
        <v>49.116666666666674</v>
      </c>
      <c r="AA53" s="21">
        <f t="shared" si="10"/>
        <v>40.228000000000009</v>
      </c>
      <c r="AB53" s="4">
        <f t="shared" si="11"/>
        <v>41.544488333333348</v>
      </c>
      <c r="AC53" s="21">
        <f t="shared" si="12"/>
        <v>57.731399999999994</v>
      </c>
      <c r="AD53" s="21">
        <f t="shared" si="13"/>
        <v>40.726050000000008</v>
      </c>
    </row>
    <row r="54" spans="1:30" x14ac:dyDescent="0.3">
      <c r="A54" s="3" t="s">
        <v>72</v>
      </c>
      <c r="B54" s="3">
        <v>63</v>
      </c>
      <c r="C54" s="3">
        <v>28</v>
      </c>
      <c r="D54" s="3">
        <v>39</v>
      </c>
      <c r="E54" s="3">
        <v>15</v>
      </c>
      <c r="F54" s="3">
        <v>10</v>
      </c>
      <c r="G54" s="3">
        <v>21</v>
      </c>
      <c r="H54" s="3">
        <v>58</v>
      </c>
      <c r="I54" s="3">
        <v>39</v>
      </c>
      <c r="J54" s="3">
        <v>46</v>
      </c>
      <c r="K54" s="3">
        <v>5</v>
      </c>
      <c r="L54" s="3">
        <v>8</v>
      </c>
      <c r="M54" s="3">
        <v>2</v>
      </c>
      <c r="N54" s="3">
        <v>1</v>
      </c>
      <c r="O54" s="3">
        <v>5</v>
      </c>
      <c r="P54" s="3">
        <v>2</v>
      </c>
      <c r="Q54" s="3">
        <f t="shared" si="14"/>
        <v>26</v>
      </c>
      <c r="R54" s="3">
        <f t="shared" si="15"/>
        <v>36</v>
      </c>
      <c r="S54" s="3">
        <f t="shared" si="16"/>
        <v>10</v>
      </c>
      <c r="T54" s="3">
        <f t="shared" si="17"/>
        <v>50</v>
      </c>
      <c r="U54" s="4">
        <f t="shared" si="4"/>
        <v>47.8</v>
      </c>
      <c r="V54" s="4">
        <f t="shared" si="5"/>
        <v>50.75</v>
      </c>
      <c r="W54" s="4">
        <f t="shared" si="6"/>
        <v>48.39</v>
      </c>
      <c r="X54" s="4">
        <f t="shared" si="7"/>
        <v>53.3</v>
      </c>
      <c r="Y54" s="21">
        <f t="shared" si="8"/>
        <v>54</v>
      </c>
      <c r="Z54" s="4">
        <f t="shared" si="9"/>
        <v>59</v>
      </c>
      <c r="AA54" s="21">
        <f t="shared" si="10"/>
        <v>48.98</v>
      </c>
      <c r="AB54" s="4">
        <f t="shared" si="11"/>
        <v>53.392300000000013</v>
      </c>
      <c r="AC54" s="21">
        <f t="shared" si="12"/>
        <v>51.704000000000001</v>
      </c>
      <c r="AD54" s="21">
        <f t="shared" si="13"/>
        <v>49.393000000000001</v>
      </c>
    </row>
    <row r="55" spans="1:30" x14ac:dyDescent="0.3">
      <c r="A55" s="3" t="s">
        <v>73</v>
      </c>
      <c r="B55" s="3">
        <v>19</v>
      </c>
      <c r="C55" s="3">
        <v>96</v>
      </c>
      <c r="D55" s="3">
        <v>12</v>
      </c>
      <c r="E55" s="3">
        <v>26</v>
      </c>
      <c r="F55" s="3">
        <v>56</v>
      </c>
      <c r="G55" s="3">
        <v>17</v>
      </c>
      <c r="H55" s="3">
        <v>65</v>
      </c>
      <c r="I55" s="3">
        <v>100</v>
      </c>
      <c r="J55" s="3">
        <v>37</v>
      </c>
      <c r="K55" s="3">
        <v>53</v>
      </c>
      <c r="L55" s="3">
        <v>3</v>
      </c>
      <c r="M55" s="3">
        <v>5</v>
      </c>
      <c r="N55" s="3">
        <v>4</v>
      </c>
      <c r="O55" s="3">
        <v>5</v>
      </c>
      <c r="P55" s="3">
        <v>2</v>
      </c>
      <c r="Q55" s="3">
        <f t="shared" si="14"/>
        <v>50.8</v>
      </c>
      <c r="R55" s="3">
        <f t="shared" si="15"/>
        <v>52.2</v>
      </c>
      <c r="S55" s="3">
        <f t="shared" si="16"/>
        <v>16</v>
      </c>
      <c r="T55" s="3">
        <f t="shared" si="17"/>
        <v>80</v>
      </c>
      <c r="U55" s="4">
        <f t="shared" si="4"/>
        <v>42.14</v>
      </c>
      <c r="V55" s="4">
        <f t="shared" si="5"/>
        <v>49.4</v>
      </c>
      <c r="W55" s="4">
        <f t="shared" si="6"/>
        <v>43.592000000000006</v>
      </c>
      <c r="X55" s="4">
        <f t="shared" si="7"/>
        <v>47.06</v>
      </c>
      <c r="Y55" s="21">
        <f t="shared" si="8"/>
        <v>49.185000000000002</v>
      </c>
      <c r="Z55" s="4">
        <f t="shared" si="9"/>
        <v>48.933333333333337</v>
      </c>
      <c r="AA55" s="21">
        <f t="shared" si="10"/>
        <v>45.044000000000004</v>
      </c>
      <c r="AB55" s="4">
        <f t="shared" si="11"/>
        <v>46.933106666666667</v>
      </c>
      <c r="AC55" s="21">
        <f t="shared" si="12"/>
        <v>52.587199999999996</v>
      </c>
      <c r="AD55" s="21">
        <f t="shared" si="13"/>
        <v>46.060400000000001</v>
      </c>
    </row>
    <row r="56" spans="1:30" x14ac:dyDescent="0.3">
      <c r="A56" s="3" t="s">
        <v>74</v>
      </c>
      <c r="B56" s="3">
        <v>45</v>
      </c>
      <c r="C56" s="3">
        <v>68</v>
      </c>
      <c r="D56" s="3">
        <v>45</v>
      </c>
      <c r="E56" s="3">
        <v>53</v>
      </c>
      <c r="F56" s="3">
        <v>77</v>
      </c>
      <c r="G56" s="3">
        <v>48</v>
      </c>
      <c r="H56" s="3">
        <v>58</v>
      </c>
      <c r="I56" s="3">
        <v>72</v>
      </c>
      <c r="J56" s="3">
        <v>71</v>
      </c>
      <c r="K56" s="3">
        <v>50</v>
      </c>
      <c r="L56" s="3">
        <v>14</v>
      </c>
      <c r="M56" s="3">
        <v>3</v>
      </c>
      <c r="N56" s="3">
        <v>2</v>
      </c>
      <c r="O56" s="3">
        <v>4</v>
      </c>
      <c r="P56" s="3">
        <v>2</v>
      </c>
      <c r="Q56" s="3">
        <f t="shared" si="14"/>
        <v>59.449999999999996</v>
      </c>
      <c r="R56" s="3">
        <f t="shared" si="15"/>
        <v>58.949999999999996</v>
      </c>
      <c r="S56" s="3">
        <f t="shared" si="16"/>
        <v>11</v>
      </c>
      <c r="T56" s="3">
        <f t="shared" si="17"/>
        <v>55.000000000000007</v>
      </c>
      <c r="U56" s="4">
        <f t="shared" si="4"/>
        <v>52.36</v>
      </c>
      <c r="V56" s="4">
        <f t="shared" si="5"/>
        <v>50.125</v>
      </c>
      <c r="W56" s="4">
        <f t="shared" si="6"/>
        <v>51.913000000000004</v>
      </c>
      <c r="X56" s="4">
        <f t="shared" si="7"/>
        <v>46.664999999999999</v>
      </c>
      <c r="Y56" s="21">
        <f t="shared" si="8"/>
        <v>50.84</v>
      </c>
      <c r="Z56" s="4">
        <f t="shared" si="9"/>
        <v>47.016666666666673</v>
      </c>
      <c r="AA56" s="21">
        <f t="shared" si="10"/>
        <v>51.466000000000001</v>
      </c>
      <c r="AB56" s="4">
        <f t="shared" si="11"/>
        <v>48.965493333333335</v>
      </c>
      <c r="AC56" s="21">
        <f t="shared" si="12"/>
        <v>47.973300000000002</v>
      </c>
      <c r="AD56" s="21">
        <f t="shared" si="13"/>
        <v>51.153100000000002</v>
      </c>
    </row>
    <row r="57" spans="1:30" x14ac:dyDescent="0.3">
      <c r="A57" s="3" t="s">
        <v>75</v>
      </c>
      <c r="B57" s="3">
        <v>19</v>
      </c>
      <c r="C57" s="3">
        <v>6</v>
      </c>
      <c r="D57" s="3">
        <v>22</v>
      </c>
      <c r="E57" s="3">
        <v>84</v>
      </c>
      <c r="F57" s="3">
        <v>68</v>
      </c>
      <c r="G57" s="3">
        <v>74</v>
      </c>
      <c r="H57" s="3">
        <v>19</v>
      </c>
      <c r="I57" s="3">
        <v>34</v>
      </c>
      <c r="J57" s="3">
        <v>86</v>
      </c>
      <c r="K57" s="3">
        <v>73</v>
      </c>
      <c r="L57" s="3">
        <v>10</v>
      </c>
      <c r="M57" s="3">
        <v>1</v>
      </c>
      <c r="N57" s="3">
        <v>4</v>
      </c>
      <c r="O57" s="3">
        <v>3</v>
      </c>
      <c r="P57" s="3">
        <v>1</v>
      </c>
      <c r="Q57" s="3">
        <f t="shared" si="14"/>
        <v>35.700000000000003</v>
      </c>
      <c r="R57" s="3">
        <f t="shared" si="15"/>
        <v>53.95</v>
      </c>
      <c r="S57" s="3">
        <f t="shared" si="16"/>
        <v>9</v>
      </c>
      <c r="T57" s="3">
        <f t="shared" si="17"/>
        <v>45</v>
      </c>
      <c r="U57" s="4">
        <f t="shared" si="4"/>
        <v>43.734999999999999</v>
      </c>
      <c r="V57" s="4">
        <f t="shared" si="5"/>
        <v>36.4375</v>
      </c>
      <c r="W57" s="4">
        <f t="shared" si="6"/>
        <v>42.275500000000001</v>
      </c>
      <c r="X57" s="4">
        <f t="shared" si="7"/>
        <v>65.59</v>
      </c>
      <c r="Y57" s="21">
        <f t="shared" si="8"/>
        <v>35.583749999999995</v>
      </c>
      <c r="Z57" s="4">
        <f t="shared" si="9"/>
        <v>36.68333333333333</v>
      </c>
      <c r="AA57" s="21">
        <f t="shared" si="10"/>
        <v>40.816000000000003</v>
      </c>
      <c r="AB57" s="4">
        <f t="shared" si="11"/>
        <v>40.702951666666671</v>
      </c>
      <c r="AC57" s="21">
        <f t="shared" si="12"/>
        <v>61.105800000000002</v>
      </c>
      <c r="AD57" s="21">
        <f t="shared" si="13"/>
        <v>39.794350000000001</v>
      </c>
    </row>
    <row r="58" spans="1:30" x14ac:dyDescent="0.3">
      <c r="A58" s="3" t="s">
        <v>76</v>
      </c>
      <c r="B58" s="3">
        <v>79</v>
      </c>
      <c r="C58" s="3">
        <v>78</v>
      </c>
      <c r="D58" s="3">
        <v>21</v>
      </c>
      <c r="E58" s="3">
        <v>32</v>
      </c>
      <c r="F58" s="3">
        <v>22</v>
      </c>
      <c r="G58" s="3">
        <v>47</v>
      </c>
      <c r="H58" s="3">
        <v>99</v>
      </c>
      <c r="I58" s="3">
        <v>55</v>
      </c>
      <c r="J58" s="3">
        <v>43</v>
      </c>
      <c r="K58" s="3">
        <v>7</v>
      </c>
      <c r="L58" s="3">
        <v>20</v>
      </c>
      <c r="M58" s="3">
        <v>3</v>
      </c>
      <c r="N58" s="3">
        <v>5</v>
      </c>
      <c r="O58" s="3">
        <v>4</v>
      </c>
      <c r="P58" s="3">
        <v>4</v>
      </c>
      <c r="Q58" s="3">
        <f t="shared" si="14"/>
        <v>43.29999999999999</v>
      </c>
      <c r="R58" s="3">
        <f t="shared" si="15"/>
        <v>57.000000000000007</v>
      </c>
      <c r="S58" s="3">
        <f t="shared" si="16"/>
        <v>16</v>
      </c>
      <c r="T58" s="3">
        <f t="shared" si="17"/>
        <v>80</v>
      </c>
      <c r="U58" s="4">
        <f t="shared" si="4"/>
        <v>54.489999999999995</v>
      </c>
      <c r="V58" s="4">
        <f t="shared" si="5"/>
        <v>61.324999999999996</v>
      </c>
      <c r="W58" s="4">
        <f t="shared" si="6"/>
        <v>55.856999999999999</v>
      </c>
      <c r="X58" s="4">
        <f t="shared" si="7"/>
        <v>31.310000000000002</v>
      </c>
      <c r="Y58" s="21">
        <f t="shared" si="8"/>
        <v>73.272499999999994</v>
      </c>
      <c r="Z58" s="4">
        <f t="shared" si="9"/>
        <v>67.333333333333329</v>
      </c>
      <c r="AA58" s="21">
        <f t="shared" si="10"/>
        <v>57.223999999999997</v>
      </c>
      <c r="AB58" s="4">
        <f t="shared" si="11"/>
        <v>57.533156666666663</v>
      </c>
      <c r="AC58" s="21">
        <f t="shared" si="12"/>
        <v>39.336200000000005</v>
      </c>
      <c r="AD58" s="21">
        <f t="shared" si="13"/>
        <v>58.180899999999994</v>
      </c>
    </row>
    <row r="59" spans="1:30" x14ac:dyDescent="0.3">
      <c r="A59" s="3" t="s">
        <v>77</v>
      </c>
      <c r="B59" s="3">
        <v>18</v>
      </c>
      <c r="C59" s="3">
        <v>61</v>
      </c>
      <c r="D59" s="3">
        <v>64</v>
      </c>
      <c r="E59" s="3">
        <v>56</v>
      </c>
      <c r="F59" s="3">
        <v>39</v>
      </c>
      <c r="G59" s="3">
        <v>56</v>
      </c>
      <c r="H59" s="3">
        <v>58</v>
      </c>
      <c r="I59" s="3">
        <v>96</v>
      </c>
      <c r="J59" s="3">
        <v>92</v>
      </c>
      <c r="K59" s="3">
        <v>49</v>
      </c>
      <c r="L59" s="3">
        <v>3</v>
      </c>
      <c r="M59" s="3">
        <v>1</v>
      </c>
      <c r="N59" s="3">
        <v>2</v>
      </c>
      <c r="O59" s="3">
        <v>5</v>
      </c>
      <c r="P59" s="3">
        <v>2</v>
      </c>
      <c r="Q59" s="3">
        <f t="shared" si="14"/>
        <v>57.6</v>
      </c>
      <c r="R59" s="3">
        <f t="shared" si="15"/>
        <v>69.2</v>
      </c>
      <c r="S59" s="3">
        <f t="shared" si="16"/>
        <v>10</v>
      </c>
      <c r="T59" s="3">
        <f t="shared" si="17"/>
        <v>50</v>
      </c>
      <c r="U59" s="4">
        <f t="shared" si="4"/>
        <v>35.68</v>
      </c>
      <c r="V59" s="4">
        <f t="shared" si="5"/>
        <v>39.1</v>
      </c>
      <c r="W59" s="4">
        <f t="shared" si="6"/>
        <v>36.364000000000004</v>
      </c>
      <c r="X59" s="4">
        <f t="shared" si="7"/>
        <v>57.319999999999993</v>
      </c>
      <c r="Y59" s="21">
        <f t="shared" si="8"/>
        <v>35.22</v>
      </c>
      <c r="Z59" s="4">
        <f t="shared" si="9"/>
        <v>32.93333333333333</v>
      </c>
      <c r="AA59" s="21">
        <f t="shared" si="10"/>
        <v>37.048000000000002</v>
      </c>
      <c r="AB59" s="4">
        <f t="shared" si="11"/>
        <v>35.526146666666669</v>
      </c>
      <c r="AC59" s="21">
        <f t="shared" si="12"/>
        <v>61.2624</v>
      </c>
      <c r="AD59" s="21">
        <f t="shared" si="13"/>
        <v>37.526800000000001</v>
      </c>
    </row>
    <row r="60" spans="1:30" x14ac:dyDescent="0.3">
      <c r="A60" s="3" t="s">
        <v>78</v>
      </c>
      <c r="B60" s="3">
        <v>38</v>
      </c>
      <c r="C60" s="3">
        <v>65</v>
      </c>
      <c r="D60" s="3">
        <v>70</v>
      </c>
      <c r="E60" s="3">
        <v>30</v>
      </c>
      <c r="F60" s="3">
        <v>1</v>
      </c>
      <c r="G60" s="3">
        <v>10</v>
      </c>
      <c r="H60" s="3">
        <v>34</v>
      </c>
      <c r="I60" s="3">
        <v>23</v>
      </c>
      <c r="J60" s="3">
        <v>3</v>
      </c>
      <c r="K60" s="3">
        <v>52</v>
      </c>
      <c r="L60" s="3">
        <v>20</v>
      </c>
      <c r="M60" s="3">
        <v>4</v>
      </c>
      <c r="N60" s="3">
        <v>4</v>
      </c>
      <c r="O60" s="3">
        <v>5</v>
      </c>
      <c r="P60" s="3">
        <v>3</v>
      </c>
      <c r="Q60" s="3">
        <f t="shared" si="14"/>
        <v>49.9</v>
      </c>
      <c r="R60" s="3">
        <f t="shared" si="15"/>
        <v>21.75</v>
      </c>
      <c r="S60" s="3">
        <f t="shared" si="16"/>
        <v>16</v>
      </c>
      <c r="T60" s="3">
        <f t="shared" si="17"/>
        <v>80</v>
      </c>
      <c r="U60" s="4">
        <f t="shared" si="4"/>
        <v>74.094999999999999</v>
      </c>
      <c r="V60" s="4">
        <f t="shared" si="5"/>
        <v>61.537500000000001</v>
      </c>
      <c r="W60" s="4">
        <f t="shared" si="6"/>
        <v>71.583500000000001</v>
      </c>
      <c r="X60" s="4">
        <f t="shared" si="7"/>
        <v>41.629999999999995</v>
      </c>
      <c r="Y60" s="21">
        <f t="shared" si="8"/>
        <v>63.823749999999997</v>
      </c>
      <c r="Z60" s="4">
        <f t="shared" si="9"/>
        <v>65.416666666666671</v>
      </c>
      <c r="AA60" s="21">
        <f t="shared" si="10"/>
        <v>69.072000000000003</v>
      </c>
      <c r="AB60" s="4">
        <f t="shared" si="11"/>
        <v>69.651178333333334</v>
      </c>
      <c r="AC60" s="21">
        <f t="shared" si="12"/>
        <v>34.138599999999997</v>
      </c>
      <c r="AD60" s="21">
        <f t="shared" si="13"/>
        <v>67.313950000000006</v>
      </c>
    </row>
    <row r="61" spans="1:30" x14ac:dyDescent="0.3">
      <c r="A61" s="3" t="s">
        <v>79</v>
      </c>
      <c r="B61" s="3">
        <v>96</v>
      </c>
      <c r="C61" s="3">
        <v>83</v>
      </c>
      <c r="D61" s="3">
        <v>3</v>
      </c>
      <c r="E61" s="3">
        <v>0</v>
      </c>
      <c r="F61" s="3">
        <v>7</v>
      </c>
      <c r="G61" s="3">
        <v>97</v>
      </c>
      <c r="H61" s="3">
        <v>60</v>
      </c>
      <c r="I61" s="3">
        <v>88</v>
      </c>
      <c r="J61" s="3">
        <v>56</v>
      </c>
      <c r="K61" s="3">
        <v>38</v>
      </c>
      <c r="L61" s="3">
        <v>18</v>
      </c>
      <c r="M61" s="3">
        <v>4</v>
      </c>
      <c r="N61" s="3">
        <v>1</v>
      </c>
      <c r="O61" s="3">
        <v>2</v>
      </c>
      <c r="P61" s="3">
        <v>4</v>
      </c>
      <c r="Q61" s="3">
        <f t="shared" si="14"/>
        <v>30.999999999999996</v>
      </c>
      <c r="R61" s="3">
        <f t="shared" si="15"/>
        <v>73.899999999999991</v>
      </c>
      <c r="S61" s="3">
        <f t="shared" si="16"/>
        <v>11</v>
      </c>
      <c r="T61" s="3">
        <f t="shared" si="17"/>
        <v>55.000000000000007</v>
      </c>
      <c r="U61" s="4">
        <f t="shared" si="4"/>
        <v>40.35</v>
      </c>
      <c r="V61" s="4">
        <f t="shared" si="5"/>
        <v>52.025000000000006</v>
      </c>
      <c r="W61" s="4">
        <f t="shared" si="6"/>
        <v>42.685000000000002</v>
      </c>
      <c r="X61" s="4">
        <f t="shared" si="7"/>
        <v>39.9</v>
      </c>
      <c r="Y61" s="21">
        <f t="shared" si="8"/>
        <v>65.6875</v>
      </c>
      <c r="Z61" s="4">
        <f t="shared" si="9"/>
        <v>59.033333333333339</v>
      </c>
      <c r="AA61" s="21">
        <f t="shared" si="10"/>
        <v>45.02</v>
      </c>
      <c r="AB61" s="4">
        <f t="shared" si="11"/>
        <v>45.296616666666679</v>
      </c>
      <c r="AC61" s="21">
        <f t="shared" si="12"/>
        <v>50.456000000000003</v>
      </c>
      <c r="AD61" s="21">
        <f t="shared" si="13"/>
        <v>46.654500000000006</v>
      </c>
    </row>
    <row r="62" spans="1:30" x14ac:dyDescent="0.3">
      <c r="A62" s="3" t="s">
        <v>80</v>
      </c>
      <c r="B62" s="3">
        <v>65</v>
      </c>
      <c r="C62" s="3">
        <v>77</v>
      </c>
      <c r="D62" s="3">
        <v>79</v>
      </c>
      <c r="E62" s="3">
        <v>54</v>
      </c>
      <c r="F62" s="3">
        <v>64</v>
      </c>
      <c r="G62" s="3">
        <v>92</v>
      </c>
      <c r="H62" s="3">
        <v>57</v>
      </c>
      <c r="I62" s="3">
        <v>92</v>
      </c>
      <c r="J62" s="3">
        <v>33</v>
      </c>
      <c r="K62" s="3">
        <v>46</v>
      </c>
      <c r="L62" s="3">
        <v>17</v>
      </c>
      <c r="M62" s="3">
        <v>4</v>
      </c>
      <c r="N62" s="3">
        <v>4</v>
      </c>
      <c r="O62" s="3">
        <v>4</v>
      </c>
      <c r="P62" s="3">
        <v>1</v>
      </c>
      <c r="Q62" s="3">
        <f t="shared" si="14"/>
        <v>71.05</v>
      </c>
      <c r="R62" s="3">
        <f t="shared" si="15"/>
        <v>69.8</v>
      </c>
      <c r="S62" s="3">
        <f t="shared" si="16"/>
        <v>13</v>
      </c>
      <c r="T62" s="3">
        <f t="shared" si="17"/>
        <v>65</v>
      </c>
      <c r="U62" s="4">
        <f t="shared" si="4"/>
        <v>53.414999999999999</v>
      </c>
      <c r="V62" s="4">
        <f t="shared" si="5"/>
        <v>57.8125</v>
      </c>
      <c r="W62" s="4">
        <f t="shared" si="6"/>
        <v>54.294499999999999</v>
      </c>
      <c r="X62" s="4">
        <f t="shared" si="7"/>
        <v>33.185000000000002</v>
      </c>
      <c r="Y62" s="21">
        <f t="shared" si="8"/>
        <v>62.103749999999998</v>
      </c>
      <c r="Z62" s="4">
        <f t="shared" si="9"/>
        <v>53.4</v>
      </c>
      <c r="AA62" s="21">
        <f t="shared" si="10"/>
        <v>55.173999999999999</v>
      </c>
      <c r="AB62" s="4">
        <f t="shared" si="11"/>
        <v>51.192364999999995</v>
      </c>
      <c r="AC62" s="21">
        <f t="shared" si="12"/>
        <v>41.333700000000007</v>
      </c>
      <c r="AD62" s="21">
        <f t="shared" si="13"/>
        <v>55.789650000000002</v>
      </c>
    </row>
    <row r="63" spans="1:30" x14ac:dyDescent="0.3">
      <c r="A63" s="3" t="s">
        <v>81</v>
      </c>
      <c r="B63" s="3">
        <v>82</v>
      </c>
      <c r="C63" s="3">
        <v>61</v>
      </c>
      <c r="D63" s="3">
        <v>88</v>
      </c>
      <c r="E63" s="3">
        <v>19</v>
      </c>
      <c r="F63" s="3">
        <v>50</v>
      </c>
      <c r="G63" s="3">
        <v>38</v>
      </c>
      <c r="H63" s="3">
        <v>63</v>
      </c>
      <c r="I63" s="3">
        <v>81</v>
      </c>
      <c r="J63" s="3">
        <v>68</v>
      </c>
      <c r="K63" s="3">
        <v>82</v>
      </c>
      <c r="L63" s="3">
        <v>6</v>
      </c>
      <c r="M63" s="3">
        <v>1</v>
      </c>
      <c r="N63" s="3">
        <v>2</v>
      </c>
      <c r="O63" s="3">
        <v>1</v>
      </c>
      <c r="P63" s="3">
        <v>1</v>
      </c>
      <c r="Q63" s="3">
        <f t="shared" si="14"/>
        <v>59.05</v>
      </c>
      <c r="R63" s="3">
        <f t="shared" si="15"/>
        <v>61.75</v>
      </c>
      <c r="S63" s="3">
        <f t="shared" si="16"/>
        <v>5</v>
      </c>
      <c r="T63" s="3">
        <f t="shared" si="17"/>
        <v>25</v>
      </c>
      <c r="U63" s="4">
        <f t="shared" si="4"/>
        <v>42.84</v>
      </c>
      <c r="V63" s="4">
        <f t="shared" si="5"/>
        <v>51.075000000000003</v>
      </c>
      <c r="W63" s="4">
        <f t="shared" si="6"/>
        <v>44.487000000000009</v>
      </c>
      <c r="X63" s="4">
        <f t="shared" si="7"/>
        <v>47.685000000000002</v>
      </c>
      <c r="Y63" s="21">
        <f t="shared" si="8"/>
        <v>49.410000000000004</v>
      </c>
      <c r="Z63" s="4">
        <f t="shared" si="9"/>
        <v>48.416666666666664</v>
      </c>
      <c r="AA63" s="21">
        <f t="shared" si="10"/>
        <v>46.134000000000007</v>
      </c>
      <c r="AB63" s="4">
        <f t="shared" si="11"/>
        <v>45.232673333333338</v>
      </c>
      <c r="AC63" s="21">
        <f t="shared" si="12"/>
        <v>52.011699999999998</v>
      </c>
      <c r="AD63" s="21">
        <f t="shared" si="13"/>
        <v>47.286900000000003</v>
      </c>
    </row>
    <row r="64" spans="1:30" x14ac:dyDescent="0.3">
      <c r="A64" s="3" t="s">
        <v>82</v>
      </c>
      <c r="B64" s="3">
        <v>87</v>
      </c>
      <c r="C64" s="3">
        <v>65</v>
      </c>
      <c r="D64" s="3">
        <v>90</v>
      </c>
      <c r="E64" s="3">
        <v>86</v>
      </c>
      <c r="F64" s="3">
        <v>11</v>
      </c>
      <c r="G64" s="3">
        <v>80</v>
      </c>
      <c r="H64" s="3">
        <v>79</v>
      </c>
      <c r="I64" s="3">
        <v>40</v>
      </c>
      <c r="J64" s="3">
        <v>48</v>
      </c>
      <c r="K64" s="3">
        <v>6</v>
      </c>
      <c r="L64" s="3">
        <v>17</v>
      </c>
      <c r="M64" s="3">
        <v>3</v>
      </c>
      <c r="N64" s="3">
        <v>3</v>
      </c>
      <c r="O64" s="3">
        <v>2</v>
      </c>
      <c r="P64" s="3">
        <v>2</v>
      </c>
      <c r="Q64" s="3">
        <f t="shared" si="14"/>
        <v>68.600000000000009</v>
      </c>
      <c r="R64" s="3">
        <f t="shared" si="15"/>
        <v>59.550000000000004</v>
      </c>
      <c r="S64" s="3">
        <f t="shared" si="16"/>
        <v>10</v>
      </c>
      <c r="T64" s="3">
        <f t="shared" si="17"/>
        <v>50</v>
      </c>
      <c r="U64" s="4">
        <f t="shared" si="4"/>
        <v>57.804999999999993</v>
      </c>
      <c r="V64" s="4">
        <f t="shared" si="5"/>
        <v>61.512500000000003</v>
      </c>
      <c r="W64" s="4">
        <f t="shared" si="6"/>
        <v>58.546500000000002</v>
      </c>
      <c r="X64" s="4">
        <f t="shared" si="7"/>
        <v>33.319999999999993</v>
      </c>
      <c r="Y64" s="21">
        <f t="shared" si="8"/>
        <v>64.901250000000005</v>
      </c>
      <c r="Z64" s="4">
        <f t="shared" si="9"/>
        <v>59.15</v>
      </c>
      <c r="AA64" s="21">
        <f t="shared" si="10"/>
        <v>59.288000000000004</v>
      </c>
      <c r="AB64" s="4">
        <f t="shared" si="11"/>
        <v>56.282755000000002</v>
      </c>
      <c r="AC64" s="21">
        <f t="shared" si="12"/>
        <v>38.494399999999999</v>
      </c>
      <c r="AD64" s="21">
        <f t="shared" si="13"/>
        <v>59.807049999999997</v>
      </c>
    </row>
    <row r="65" spans="1:30" x14ac:dyDescent="0.3">
      <c r="A65" s="3" t="s">
        <v>83</v>
      </c>
      <c r="B65" s="3">
        <v>17</v>
      </c>
      <c r="C65" s="3">
        <v>59</v>
      </c>
      <c r="D65" s="3">
        <v>21</v>
      </c>
      <c r="E65" s="3">
        <v>65</v>
      </c>
      <c r="F65" s="3">
        <v>35</v>
      </c>
      <c r="G65" s="3">
        <v>100</v>
      </c>
      <c r="H65" s="3">
        <v>26</v>
      </c>
      <c r="I65" s="3">
        <v>73</v>
      </c>
      <c r="J65" s="3">
        <v>21</v>
      </c>
      <c r="K65" s="3">
        <v>33</v>
      </c>
      <c r="L65" s="3">
        <v>18</v>
      </c>
      <c r="M65" s="3">
        <v>1</v>
      </c>
      <c r="N65" s="3">
        <v>5</v>
      </c>
      <c r="O65" s="3">
        <v>4</v>
      </c>
      <c r="P65" s="3">
        <v>3</v>
      </c>
      <c r="Q65" s="3">
        <f t="shared" si="14"/>
        <v>45.2</v>
      </c>
      <c r="R65" s="3">
        <f t="shared" si="15"/>
        <v>57.55</v>
      </c>
      <c r="S65" s="3">
        <f t="shared" si="16"/>
        <v>13</v>
      </c>
      <c r="T65" s="3">
        <f t="shared" si="17"/>
        <v>65</v>
      </c>
      <c r="U65" s="4">
        <f t="shared" si="4"/>
        <v>52.785000000000004</v>
      </c>
      <c r="V65" s="4">
        <f t="shared" si="5"/>
        <v>42.412500000000001</v>
      </c>
      <c r="W65" s="4">
        <f t="shared" si="6"/>
        <v>50.71050000000001</v>
      </c>
      <c r="X65" s="4">
        <f t="shared" si="7"/>
        <v>55.339999999999996</v>
      </c>
      <c r="Y65" s="21">
        <f t="shared" si="8"/>
        <v>45.146250000000002</v>
      </c>
      <c r="Z65" s="4">
        <f t="shared" si="9"/>
        <v>41.483333333333334</v>
      </c>
      <c r="AA65" s="21">
        <f t="shared" si="10"/>
        <v>48.636000000000003</v>
      </c>
      <c r="AB65" s="4">
        <f t="shared" si="11"/>
        <v>46.263901666666662</v>
      </c>
      <c r="AC65" s="21">
        <f t="shared" si="12"/>
        <v>52.556799999999988</v>
      </c>
      <c r="AD65" s="21">
        <f t="shared" si="13"/>
        <v>47.183850000000007</v>
      </c>
    </row>
    <row r="66" spans="1:30" x14ac:dyDescent="0.3">
      <c r="A66" s="3" t="s">
        <v>84</v>
      </c>
      <c r="B66" s="3">
        <v>82</v>
      </c>
      <c r="C66" s="3">
        <v>48</v>
      </c>
      <c r="D66" s="3">
        <v>85</v>
      </c>
      <c r="E66" s="3">
        <v>25</v>
      </c>
      <c r="F66" s="3">
        <v>56</v>
      </c>
      <c r="G66" s="3">
        <v>57</v>
      </c>
      <c r="H66" s="3">
        <v>89</v>
      </c>
      <c r="I66" s="3">
        <v>54</v>
      </c>
      <c r="J66" s="3">
        <v>18</v>
      </c>
      <c r="K66" s="3">
        <v>46</v>
      </c>
      <c r="L66" s="3">
        <v>7</v>
      </c>
      <c r="M66" s="3">
        <v>1</v>
      </c>
      <c r="N66" s="3">
        <v>2</v>
      </c>
      <c r="O66" s="3">
        <v>4</v>
      </c>
      <c r="P66" s="3">
        <v>2</v>
      </c>
      <c r="Q66" s="3">
        <f t="shared" ref="Q66:Q101" si="18">0.35*C66+0.3*D66+0.2*E66+0.15*F66</f>
        <v>55.699999999999996</v>
      </c>
      <c r="R66" s="3">
        <f t="shared" ref="R66:R101" si="19">0.3*G66+0.25*H66+0.2*I66+0.15*J66+0.1*K66</f>
        <v>57.449999999999996</v>
      </c>
      <c r="S66" s="3">
        <f t="shared" ref="S66:S101" si="20">M66+N66+O66+P66</f>
        <v>9</v>
      </c>
      <c r="T66" s="3">
        <f t="shared" ref="T66:T97" si="21">(S66/20)*100</f>
        <v>45</v>
      </c>
      <c r="U66" s="4">
        <f t="shared" si="4"/>
        <v>44.984999999999999</v>
      </c>
      <c r="V66" s="4">
        <f t="shared" si="5"/>
        <v>56.3125</v>
      </c>
      <c r="W66" s="4">
        <f t="shared" si="6"/>
        <v>47.250500000000002</v>
      </c>
      <c r="X66" s="4">
        <f t="shared" si="7"/>
        <v>40.69</v>
      </c>
      <c r="Y66" s="21">
        <f t="shared" si="8"/>
        <v>57.946250000000006</v>
      </c>
      <c r="Z66" s="4">
        <f t="shared" si="9"/>
        <v>56.516666666666673</v>
      </c>
      <c r="AA66" s="21">
        <f t="shared" si="10"/>
        <v>49.515999999999998</v>
      </c>
      <c r="AB66" s="4">
        <f t="shared" si="11"/>
        <v>50.01786833333334</v>
      </c>
      <c r="AC66" s="21">
        <f t="shared" si="12"/>
        <v>47.545800000000007</v>
      </c>
      <c r="AD66" s="21">
        <f t="shared" si="13"/>
        <v>51.101849999999999</v>
      </c>
    </row>
    <row r="67" spans="1:30" x14ac:dyDescent="0.3">
      <c r="A67" s="3" t="s">
        <v>85</v>
      </c>
      <c r="B67" s="3">
        <v>47</v>
      </c>
      <c r="C67" s="3">
        <v>63</v>
      </c>
      <c r="D67" s="3">
        <v>70</v>
      </c>
      <c r="E67" s="3">
        <v>71</v>
      </c>
      <c r="F67" s="3">
        <v>23</v>
      </c>
      <c r="G67" s="3">
        <v>90</v>
      </c>
      <c r="H67" s="3">
        <v>59</v>
      </c>
      <c r="I67" s="3">
        <v>23</v>
      </c>
      <c r="J67" s="3">
        <v>63</v>
      </c>
      <c r="K67" s="3">
        <v>20</v>
      </c>
      <c r="L67" s="3">
        <v>17</v>
      </c>
      <c r="M67" s="3">
        <v>5</v>
      </c>
      <c r="N67" s="3">
        <v>5</v>
      </c>
      <c r="O67" s="3">
        <v>5</v>
      </c>
      <c r="P67" s="3">
        <v>3</v>
      </c>
      <c r="Q67" s="3">
        <f t="shared" si="18"/>
        <v>60.7</v>
      </c>
      <c r="R67" s="3">
        <f t="shared" si="19"/>
        <v>57.8</v>
      </c>
      <c r="S67" s="3">
        <f t="shared" si="20"/>
        <v>18</v>
      </c>
      <c r="T67" s="3">
        <f t="shared" si="21"/>
        <v>90</v>
      </c>
      <c r="U67" s="4">
        <f t="shared" ref="U67:U101" si="22">(0.6*Q67 + 0.4*(L67*5) + (100 - R67)) / 2</f>
        <v>56.31</v>
      </c>
      <c r="V67" s="4">
        <f t="shared" ref="V67:V101" si="23">(Q67 + (100 - R67) + T67 + B67) / 4</f>
        <v>59.975000000000001</v>
      </c>
      <c r="W67" s="4">
        <f t="shared" ref="W67:W101" si="24">0.2*V67 + 0.8*U67</f>
        <v>57.043000000000006</v>
      </c>
      <c r="X67" s="4">
        <f t="shared" ref="X67:X101" si="25">0.3*(100-Q67) + 0.3*(100-B67) + 0.25*(100-T67) + 0.15*(100-T67)</f>
        <v>31.689999999999998</v>
      </c>
      <c r="Y67" s="21">
        <f t="shared" ref="Y67:Y101" si="26">0.4*T67 + 0.35*B67 + 0.25*U67</f>
        <v>66.527500000000003</v>
      </c>
      <c r="Z67" s="4">
        <f t="shared" ref="Z67:Z101" si="27">(B67 + T67 + (100-R67)) / 3</f>
        <v>59.733333333333327</v>
      </c>
      <c r="AA67" s="21">
        <f t="shared" ref="AA67:AA101" si="28">(U67+V67+W67)/3</f>
        <v>57.776000000000003</v>
      </c>
      <c r="AB67" s="4">
        <f t="shared" ref="AB67:AB101" si="29">0.2*W67 + 0.2*Z67 + 0.2*(100-R67) + 0.15*(100-X67) + 0.15*U67 + 0.1*AD67</f>
        <v>56.317176666666668</v>
      </c>
      <c r="AC67" s="21">
        <f t="shared" ref="AC67:AC101" si="30">0.4*(100-W67) + 0.3*X67 + 0.2*(100-V67) + 0.1*(100-U67)</f>
        <v>39.063800000000001</v>
      </c>
      <c r="AD67" s="21">
        <f t="shared" ref="AD67:AD101" si="31">0.5*V67 + 0.3*U67 + 0.2*W67</f>
        <v>58.289099999999998</v>
      </c>
    </row>
    <row r="68" spans="1:30" x14ac:dyDescent="0.3">
      <c r="A68" s="3" t="s">
        <v>86</v>
      </c>
      <c r="B68" s="3">
        <v>82</v>
      </c>
      <c r="C68" s="3">
        <v>45</v>
      </c>
      <c r="D68" s="3">
        <v>25</v>
      </c>
      <c r="E68" s="3">
        <v>73</v>
      </c>
      <c r="F68" s="3">
        <v>25</v>
      </c>
      <c r="G68" s="3">
        <v>31</v>
      </c>
      <c r="H68" s="3">
        <v>73</v>
      </c>
      <c r="I68" s="3">
        <v>74</v>
      </c>
      <c r="J68" s="3">
        <v>5</v>
      </c>
      <c r="K68" s="3">
        <v>83</v>
      </c>
      <c r="L68" s="3">
        <v>19</v>
      </c>
      <c r="M68" s="3">
        <v>2</v>
      </c>
      <c r="N68" s="3">
        <v>1</v>
      </c>
      <c r="O68" s="3">
        <v>2</v>
      </c>
      <c r="P68" s="3">
        <v>4</v>
      </c>
      <c r="Q68" s="3">
        <f t="shared" si="18"/>
        <v>41.6</v>
      </c>
      <c r="R68" s="3">
        <f t="shared" si="19"/>
        <v>51.399999999999991</v>
      </c>
      <c r="S68" s="3">
        <f t="shared" si="20"/>
        <v>9</v>
      </c>
      <c r="T68" s="3">
        <f t="shared" si="21"/>
        <v>45</v>
      </c>
      <c r="U68" s="4">
        <f t="shared" si="22"/>
        <v>55.78</v>
      </c>
      <c r="V68" s="4">
        <f t="shared" si="23"/>
        <v>54.300000000000004</v>
      </c>
      <c r="W68" s="4">
        <f t="shared" si="24"/>
        <v>55.484000000000002</v>
      </c>
      <c r="X68" s="4">
        <f t="shared" si="25"/>
        <v>44.92</v>
      </c>
      <c r="Y68" s="21">
        <f t="shared" si="26"/>
        <v>60.645000000000003</v>
      </c>
      <c r="Z68" s="4">
        <f t="shared" si="27"/>
        <v>58.533333333333339</v>
      </c>
      <c r="AA68" s="21">
        <f t="shared" si="28"/>
        <v>55.188000000000009</v>
      </c>
      <c r="AB68" s="4">
        <f t="shared" si="29"/>
        <v>54.650546666666678</v>
      </c>
      <c r="AC68" s="21">
        <f t="shared" si="30"/>
        <v>44.8444</v>
      </c>
      <c r="AD68" s="21">
        <f t="shared" si="31"/>
        <v>54.980800000000002</v>
      </c>
    </row>
    <row r="69" spans="1:30" x14ac:dyDescent="0.3">
      <c r="A69" s="3" t="s">
        <v>87</v>
      </c>
      <c r="B69" s="3">
        <v>79</v>
      </c>
      <c r="C69" s="3">
        <v>14</v>
      </c>
      <c r="D69" s="3">
        <v>24</v>
      </c>
      <c r="E69" s="3">
        <v>81</v>
      </c>
      <c r="F69" s="3">
        <v>15</v>
      </c>
      <c r="G69" s="3">
        <v>65</v>
      </c>
      <c r="H69" s="3">
        <v>69</v>
      </c>
      <c r="I69" s="3">
        <v>68</v>
      </c>
      <c r="J69" s="3">
        <v>58</v>
      </c>
      <c r="K69" s="3">
        <v>83</v>
      </c>
      <c r="L69" s="3">
        <v>1</v>
      </c>
      <c r="M69" s="3">
        <v>2</v>
      </c>
      <c r="N69" s="3">
        <v>5</v>
      </c>
      <c r="O69" s="3">
        <v>1</v>
      </c>
      <c r="P69" s="3">
        <v>5</v>
      </c>
      <c r="Q69" s="3">
        <f t="shared" si="18"/>
        <v>30.549999999999997</v>
      </c>
      <c r="R69" s="3">
        <f t="shared" si="19"/>
        <v>67.349999999999994</v>
      </c>
      <c r="S69" s="3">
        <f t="shared" si="20"/>
        <v>13</v>
      </c>
      <c r="T69" s="3">
        <f t="shared" si="21"/>
        <v>65</v>
      </c>
      <c r="U69" s="4">
        <f t="shared" si="22"/>
        <v>26.490000000000002</v>
      </c>
      <c r="V69" s="4">
        <f t="shared" si="23"/>
        <v>51.8</v>
      </c>
      <c r="W69" s="4">
        <f t="shared" si="24"/>
        <v>31.552000000000003</v>
      </c>
      <c r="X69" s="4">
        <f t="shared" si="25"/>
        <v>41.135000000000005</v>
      </c>
      <c r="Y69" s="21">
        <f t="shared" si="26"/>
        <v>60.272500000000001</v>
      </c>
      <c r="Z69" s="4">
        <f t="shared" si="27"/>
        <v>58.883333333333333</v>
      </c>
      <c r="AA69" s="21">
        <f t="shared" si="28"/>
        <v>36.613999999999997</v>
      </c>
      <c r="AB69" s="4">
        <f t="shared" si="29"/>
        <v>41.436056666666673</v>
      </c>
      <c r="AC69" s="21">
        <f t="shared" si="30"/>
        <v>56.710699999999996</v>
      </c>
      <c r="AD69" s="21">
        <f t="shared" si="31"/>
        <v>40.157400000000003</v>
      </c>
    </row>
    <row r="70" spans="1:30" x14ac:dyDescent="0.3">
      <c r="A70" s="3" t="s">
        <v>88</v>
      </c>
      <c r="B70" s="3">
        <v>20</v>
      </c>
      <c r="C70" s="3">
        <v>80</v>
      </c>
      <c r="D70" s="3">
        <v>72</v>
      </c>
      <c r="E70" s="3">
        <v>39</v>
      </c>
      <c r="F70" s="3">
        <v>97</v>
      </c>
      <c r="G70" s="3">
        <v>86</v>
      </c>
      <c r="H70" s="3">
        <v>93</v>
      </c>
      <c r="I70" s="3">
        <v>10</v>
      </c>
      <c r="J70" s="3">
        <v>78</v>
      </c>
      <c r="K70" s="3">
        <v>61</v>
      </c>
      <c r="L70" s="3">
        <v>6</v>
      </c>
      <c r="M70" s="3">
        <v>1</v>
      </c>
      <c r="N70" s="3">
        <v>4</v>
      </c>
      <c r="O70" s="3">
        <v>1</v>
      </c>
      <c r="P70" s="3">
        <v>2</v>
      </c>
      <c r="Q70" s="3">
        <f t="shared" si="18"/>
        <v>71.949999999999989</v>
      </c>
      <c r="R70" s="3">
        <f t="shared" si="19"/>
        <v>68.849999999999994</v>
      </c>
      <c r="S70" s="3">
        <f t="shared" si="20"/>
        <v>8</v>
      </c>
      <c r="T70" s="3">
        <f t="shared" si="21"/>
        <v>40</v>
      </c>
      <c r="U70" s="4">
        <f t="shared" si="22"/>
        <v>43.16</v>
      </c>
      <c r="V70" s="4">
        <f t="shared" si="23"/>
        <v>40.774999999999999</v>
      </c>
      <c r="W70" s="4">
        <f t="shared" si="24"/>
        <v>42.683</v>
      </c>
      <c r="X70" s="4">
        <f t="shared" si="25"/>
        <v>56.415000000000006</v>
      </c>
      <c r="Y70" s="21">
        <f t="shared" si="26"/>
        <v>33.79</v>
      </c>
      <c r="Z70" s="4">
        <f t="shared" si="27"/>
        <v>30.383333333333336</v>
      </c>
      <c r="AA70" s="21">
        <f t="shared" si="28"/>
        <v>42.205999999999996</v>
      </c>
      <c r="AB70" s="4">
        <f t="shared" si="29"/>
        <v>38.042226666666664</v>
      </c>
      <c r="AC70" s="21">
        <f t="shared" si="30"/>
        <v>57.380300000000005</v>
      </c>
      <c r="AD70" s="21">
        <f t="shared" si="31"/>
        <v>41.872099999999996</v>
      </c>
    </row>
    <row r="71" spans="1:30" x14ac:dyDescent="0.3">
      <c r="A71" s="3" t="s">
        <v>89</v>
      </c>
      <c r="B71" s="3">
        <v>93</v>
      </c>
      <c r="C71" s="3">
        <v>30</v>
      </c>
      <c r="D71" s="3">
        <v>29</v>
      </c>
      <c r="E71" s="3">
        <v>15</v>
      </c>
      <c r="F71" s="3">
        <v>24</v>
      </c>
      <c r="G71" s="3">
        <v>12</v>
      </c>
      <c r="H71" s="3">
        <v>33</v>
      </c>
      <c r="I71" s="3">
        <v>81</v>
      </c>
      <c r="J71" s="3">
        <v>47</v>
      </c>
      <c r="K71" s="3">
        <v>43</v>
      </c>
      <c r="L71" s="3">
        <v>17</v>
      </c>
      <c r="M71" s="3">
        <v>3</v>
      </c>
      <c r="N71" s="3">
        <v>5</v>
      </c>
      <c r="O71" s="3">
        <v>5</v>
      </c>
      <c r="P71" s="3">
        <v>4</v>
      </c>
      <c r="Q71" s="3">
        <f t="shared" si="18"/>
        <v>25.799999999999997</v>
      </c>
      <c r="R71" s="3">
        <f t="shared" si="19"/>
        <v>39.399999999999991</v>
      </c>
      <c r="S71" s="3">
        <f t="shared" si="20"/>
        <v>17</v>
      </c>
      <c r="T71" s="3">
        <f t="shared" si="21"/>
        <v>85</v>
      </c>
      <c r="U71" s="4">
        <f t="shared" si="22"/>
        <v>55.040000000000006</v>
      </c>
      <c r="V71" s="4">
        <f t="shared" si="23"/>
        <v>66.099999999999994</v>
      </c>
      <c r="W71" s="4">
        <f t="shared" si="24"/>
        <v>57.25200000000001</v>
      </c>
      <c r="X71" s="4">
        <f t="shared" si="25"/>
        <v>30.360000000000003</v>
      </c>
      <c r="Y71" s="21">
        <f t="shared" si="26"/>
        <v>80.31</v>
      </c>
      <c r="Z71" s="4">
        <f t="shared" si="27"/>
        <v>79.533333333333346</v>
      </c>
      <c r="AA71" s="21">
        <f t="shared" si="28"/>
        <v>59.463999999999999</v>
      </c>
      <c r="AB71" s="4">
        <f t="shared" si="29"/>
        <v>64.280306666666675</v>
      </c>
      <c r="AC71" s="21">
        <f t="shared" si="30"/>
        <v>37.483200000000004</v>
      </c>
      <c r="AD71" s="21">
        <f t="shared" si="31"/>
        <v>61.0124</v>
      </c>
    </row>
    <row r="72" spans="1:30" x14ac:dyDescent="0.3">
      <c r="A72" s="3" t="s">
        <v>90</v>
      </c>
      <c r="B72" s="3">
        <v>74</v>
      </c>
      <c r="C72" s="3">
        <v>91</v>
      </c>
      <c r="D72" s="3">
        <v>39</v>
      </c>
      <c r="E72" s="3">
        <v>52</v>
      </c>
      <c r="F72" s="3">
        <v>75</v>
      </c>
      <c r="G72" s="3">
        <v>87</v>
      </c>
      <c r="H72" s="3">
        <v>93</v>
      </c>
      <c r="I72" s="3">
        <v>2</v>
      </c>
      <c r="J72" s="3">
        <v>72</v>
      </c>
      <c r="K72" s="3">
        <v>78</v>
      </c>
      <c r="L72" s="3">
        <v>19</v>
      </c>
      <c r="M72" s="3">
        <v>3</v>
      </c>
      <c r="N72" s="3">
        <v>2</v>
      </c>
      <c r="O72" s="3">
        <v>5</v>
      </c>
      <c r="P72" s="3">
        <v>2</v>
      </c>
      <c r="Q72" s="3">
        <f t="shared" si="18"/>
        <v>65.199999999999989</v>
      </c>
      <c r="R72" s="3">
        <f t="shared" si="19"/>
        <v>68.349999999999994</v>
      </c>
      <c r="S72" s="3">
        <f t="shared" si="20"/>
        <v>12</v>
      </c>
      <c r="T72" s="3">
        <f t="shared" si="21"/>
        <v>60</v>
      </c>
      <c r="U72" s="4">
        <f t="shared" si="22"/>
        <v>54.384999999999998</v>
      </c>
      <c r="V72" s="4">
        <f t="shared" si="23"/>
        <v>57.712499999999999</v>
      </c>
      <c r="W72" s="4">
        <f t="shared" si="24"/>
        <v>55.0505</v>
      </c>
      <c r="X72" s="4">
        <f t="shared" si="25"/>
        <v>34.24</v>
      </c>
      <c r="Y72" s="21">
        <f t="shared" si="26"/>
        <v>63.496249999999996</v>
      </c>
      <c r="Z72" s="4">
        <f t="shared" si="27"/>
        <v>55.216666666666669</v>
      </c>
      <c r="AA72" s="21">
        <f t="shared" si="28"/>
        <v>55.716000000000001</v>
      </c>
      <c r="AB72" s="4">
        <f t="shared" si="29"/>
        <v>52.023368333333337</v>
      </c>
      <c r="AC72" s="21">
        <f t="shared" si="30"/>
        <v>41.270800000000008</v>
      </c>
      <c r="AD72" s="21">
        <f t="shared" si="31"/>
        <v>56.181850000000004</v>
      </c>
    </row>
    <row r="73" spans="1:30" x14ac:dyDescent="0.3">
      <c r="A73" s="3" t="s">
        <v>91</v>
      </c>
      <c r="B73" s="3">
        <v>8</v>
      </c>
      <c r="C73" s="3">
        <v>42</v>
      </c>
      <c r="D73" s="3">
        <v>95</v>
      </c>
      <c r="E73" s="3">
        <v>72</v>
      </c>
      <c r="F73" s="3">
        <v>64</v>
      </c>
      <c r="G73" s="3">
        <v>69</v>
      </c>
      <c r="H73" s="3">
        <v>70</v>
      </c>
      <c r="I73" s="3">
        <v>21</v>
      </c>
      <c r="J73" s="3">
        <v>17</v>
      </c>
      <c r="K73" s="3">
        <v>87</v>
      </c>
      <c r="L73" s="3">
        <v>2</v>
      </c>
      <c r="M73" s="3">
        <v>4</v>
      </c>
      <c r="N73" s="3">
        <v>5</v>
      </c>
      <c r="O73" s="3">
        <v>1</v>
      </c>
      <c r="P73" s="3">
        <v>3</v>
      </c>
      <c r="Q73" s="3">
        <f t="shared" si="18"/>
        <v>67.2</v>
      </c>
      <c r="R73" s="3">
        <f t="shared" si="19"/>
        <v>53.650000000000006</v>
      </c>
      <c r="S73" s="3">
        <f t="shared" si="20"/>
        <v>13</v>
      </c>
      <c r="T73" s="3">
        <f t="shared" si="21"/>
        <v>65</v>
      </c>
      <c r="U73" s="4">
        <f t="shared" si="22"/>
        <v>45.334999999999994</v>
      </c>
      <c r="V73" s="4">
        <f t="shared" si="23"/>
        <v>46.637500000000003</v>
      </c>
      <c r="W73" s="4">
        <f t="shared" si="24"/>
        <v>45.595499999999994</v>
      </c>
      <c r="X73" s="4">
        <f t="shared" si="25"/>
        <v>51.44</v>
      </c>
      <c r="Y73" s="21">
        <f t="shared" si="26"/>
        <v>40.133749999999999</v>
      </c>
      <c r="Z73" s="4">
        <f t="shared" si="27"/>
        <v>39.783333333333331</v>
      </c>
      <c r="AA73" s="21">
        <f t="shared" si="28"/>
        <v>45.855999999999995</v>
      </c>
      <c r="AB73" s="4">
        <f t="shared" si="29"/>
        <v>45.033851666666664</v>
      </c>
      <c r="AC73" s="21">
        <f t="shared" si="30"/>
        <v>53.332800000000006</v>
      </c>
      <c r="AD73" s="21">
        <f t="shared" si="31"/>
        <v>46.038349999999994</v>
      </c>
    </row>
    <row r="74" spans="1:30" x14ac:dyDescent="0.3">
      <c r="A74" s="3" t="s">
        <v>92</v>
      </c>
      <c r="B74" s="3">
        <v>33</v>
      </c>
      <c r="C74" s="3">
        <v>45</v>
      </c>
      <c r="D74" s="3">
        <v>99</v>
      </c>
      <c r="E74" s="3">
        <v>73</v>
      </c>
      <c r="F74" s="3">
        <v>25</v>
      </c>
      <c r="G74" s="3">
        <v>22</v>
      </c>
      <c r="H74" s="3">
        <v>75</v>
      </c>
      <c r="I74" s="3">
        <v>15</v>
      </c>
      <c r="J74" s="3">
        <v>64</v>
      </c>
      <c r="K74" s="3">
        <v>78</v>
      </c>
      <c r="L74" s="3">
        <v>4</v>
      </c>
      <c r="M74" s="3">
        <v>2</v>
      </c>
      <c r="N74" s="3">
        <v>2</v>
      </c>
      <c r="O74" s="3">
        <v>3</v>
      </c>
      <c r="P74" s="3">
        <v>1</v>
      </c>
      <c r="Q74" s="3">
        <f t="shared" si="18"/>
        <v>63.8</v>
      </c>
      <c r="R74" s="3">
        <f t="shared" si="19"/>
        <v>45.75</v>
      </c>
      <c r="S74" s="3">
        <f t="shared" si="20"/>
        <v>8</v>
      </c>
      <c r="T74" s="3">
        <f t="shared" si="21"/>
        <v>40</v>
      </c>
      <c r="U74" s="4">
        <f t="shared" si="22"/>
        <v>50.265000000000001</v>
      </c>
      <c r="V74" s="4">
        <f t="shared" si="23"/>
        <v>47.762500000000003</v>
      </c>
      <c r="W74" s="4">
        <f t="shared" si="24"/>
        <v>49.764500000000005</v>
      </c>
      <c r="X74" s="4">
        <f t="shared" si="25"/>
        <v>54.96</v>
      </c>
      <c r="Y74" s="21">
        <f t="shared" si="26"/>
        <v>40.116249999999994</v>
      </c>
      <c r="Z74" s="4">
        <f t="shared" si="27"/>
        <v>42.416666666666664</v>
      </c>
      <c r="AA74" s="21">
        <f t="shared" si="28"/>
        <v>49.264000000000003</v>
      </c>
      <c r="AB74" s="4">
        <f t="shared" si="29"/>
        <v>48.473348333333334</v>
      </c>
      <c r="AC74" s="21">
        <f t="shared" si="30"/>
        <v>52.0032</v>
      </c>
      <c r="AD74" s="21">
        <f t="shared" si="31"/>
        <v>48.913650000000004</v>
      </c>
    </row>
    <row r="75" spans="1:30" x14ac:dyDescent="0.3">
      <c r="A75" s="3" t="s">
        <v>93</v>
      </c>
      <c r="B75" s="3">
        <v>78</v>
      </c>
      <c r="C75" s="3">
        <v>34</v>
      </c>
      <c r="D75" s="3">
        <v>97</v>
      </c>
      <c r="E75" s="3">
        <v>14</v>
      </c>
      <c r="F75" s="3">
        <v>54</v>
      </c>
      <c r="G75" s="3">
        <v>54</v>
      </c>
      <c r="H75" s="3">
        <v>67</v>
      </c>
      <c r="I75" s="3">
        <v>6</v>
      </c>
      <c r="J75" s="3">
        <v>29</v>
      </c>
      <c r="K75" s="3">
        <v>74</v>
      </c>
      <c r="L75" s="3">
        <v>13</v>
      </c>
      <c r="M75" s="3">
        <v>2</v>
      </c>
      <c r="N75" s="3">
        <v>5</v>
      </c>
      <c r="O75" s="3">
        <v>5</v>
      </c>
      <c r="P75" s="3">
        <v>5</v>
      </c>
      <c r="Q75" s="3">
        <f t="shared" si="18"/>
        <v>51.9</v>
      </c>
      <c r="R75" s="3">
        <f t="shared" si="19"/>
        <v>45.900000000000006</v>
      </c>
      <c r="S75" s="3">
        <f t="shared" si="20"/>
        <v>17</v>
      </c>
      <c r="T75" s="3">
        <f t="shared" si="21"/>
        <v>85</v>
      </c>
      <c r="U75" s="4">
        <f t="shared" si="22"/>
        <v>55.62</v>
      </c>
      <c r="V75" s="4">
        <f t="shared" si="23"/>
        <v>67.25</v>
      </c>
      <c r="W75" s="4">
        <f t="shared" si="24"/>
        <v>57.946000000000005</v>
      </c>
      <c r="X75" s="4">
        <f t="shared" si="25"/>
        <v>27.03</v>
      </c>
      <c r="Y75" s="21">
        <f t="shared" si="26"/>
        <v>75.204999999999998</v>
      </c>
      <c r="Z75" s="4">
        <f t="shared" si="27"/>
        <v>72.36666666666666</v>
      </c>
      <c r="AA75" s="21">
        <f t="shared" si="28"/>
        <v>60.271999999999998</v>
      </c>
      <c r="AB75" s="4">
        <f t="shared" si="29"/>
        <v>62.361053333333345</v>
      </c>
      <c r="AC75" s="21">
        <f t="shared" si="30"/>
        <v>35.918599999999998</v>
      </c>
      <c r="AD75" s="21">
        <f t="shared" si="31"/>
        <v>61.900199999999998</v>
      </c>
    </row>
    <row r="76" spans="1:30" x14ac:dyDescent="0.3">
      <c r="A76" s="3" t="s">
        <v>94</v>
      </c>
      <c r="B76" s="3">
        <v>43</v>
      </c>
      <c r="C76" s="3">
        <v>43</v>
      </c>
      <c r="D76" s="3">
        <v>33</v>
      </c>
      <c r="E76" s="3">
        <v>65</v>
      </c>
      <c r="F76" s="3">
        <v>88</v>
      </c>
      <c r="G76" s="3">
        <v>38</v>
      </c>
      <c r="H76" s="3">
        <v>53</v>
      </c>
      <c r="I76" s="3">
        <v>28</v>
      </c>
      <c r="J76" s="3">
        <v>74</v>
      </c>
      <c r="K76" s="3">
        <v>37</v>
      </c>
      <c r="L76" s="3">
        <v>12</v>
      </c>
      <c r="M76" s="3">
        <v>3</v>
      </c>
      <c r="N76" s="3">
        <v>3</v>
      </c>
      <c r="O76" s="3">
        <v>4</v>
      </c>
      <c r="P76" s="3">
        <v>4</v>
      </c>
      <c r="Q76" s="3">
        <f t="shared" si="18"/>
        <v>51.150000000000006</v>
      </c>
      <c r="R76" s="3">
        <f t="shared" si="19"/>
        <v>45.050000000000004</v>
      </c>
      <c r="S76" s="3">
        <f t="shared" si="20"/>
        <v>14</v>
      </c>
      <c r="T76" s="3">
        <f t="shared" si="21"/>
        <v>70</v>
      </c>
      <c r="U76" s="4">
        <f t="shared" si="22"/>
        <v>54.819999999999993</v>
      </c>
      <c r="V76" s="4">
        <f t="shared" si="23"/>
        <v>54.774999999999999</v>
      </c>
      <c r="W76" s="4">
        <f t="shared" si="24"/>
        <v>54.810999999999993</v>
      </c>
      <c r="X76" s="4">
        <f t="shared" si="25"/>
        <v>43.754999999999995</v>
      </c>
      <c r="Y76" s="21">
        <f t="shared" si="26"/>
        <v>56.754999999999995</v>
      </c>
      <c r="Z76" s="4">
        <f t="shared" si="27"/>
        <v>55.983333333333327</v>
      </c>
      <c r="AA76" s="21">
        <f t="shared" si="28"/>
        <v>54.802</v>
      </c>
      <c r="AB76" s="4">
        <f t="shared" si="29"/>
        <v>55.288186666666668</v>
      </c>
      <c r="AC76" s="21">
        <f t="shared" si="30"/>
        <v>44.765100000000004</v>
      </c>
      <c r="AD76" s="21">
        <f t="shared" si="31"/>
        <v>54.795699999999997</v>
      </c>
    </row>
    <row r="77" spans="1:30" x14ac:dyDescent="0.3">
      <c r="A77" s="3" t="s">
        <v>95</v>
      </c>
      <c r="B77" s="3">
        <v>7</v>
      </c>
      <c r="C77" s="3">
        <v>47</v>
      </c>
      <c r="D77" s="3">
        <v>52</v>
      </c>
      <c r="E77" s="3">
        <v>23</v>
      </c>
      <c r="F77" s="3">
        <v>40</v>
      </c>
      <c r="G77" s="3">
        <v>79</v>
      </c>
      <c r="H77" s="3">
        <v>53</v>
      </c>
      <c r="I77" s="3">
        <v>48</v>
      </c>
      <c r="J77" s="3">
        <v>97</v>
      </c>
      <c r="K77" s="3">
        <v>47</v>
      </c>
      <c r="L77" s="3">
        <v>2</v>
      </c>
      <c r="M77" s="3">
        <v>3</v>
      </c>
      <c r="N77" s="3">
        <v>5</v>
      </c>
      <c r="O77" s="3">
        <v>2</v>
      </c>
      <c r="P77" s="3">
        <v>4</v>
      </c>
      <c r="Q77" s="3">
        <f t="shared" si="18"/>
        <v>42.65</v>
      </c>
      <c r="R77" s="3">
        <f t="shared" si="19"/>
        <v>65.8</v>
      </c>
      <c r="S77" s="3">
        <f t="shared" si="20"/>
        <v>14</v>
      </c>
      <c r="T77" s="3">
        <f t="shared" si="21"/>
        <v>70</v>
      </c>
      <c r="U77" s="4">
        <f t="shared" si="22"/>
        <v>31.895000000000003</v>
      </c>
      <c r="V77" s="4">
        <f t="shared" si="23"/>
        <v>38.462499999999999</v>
      </c>
      <c r="W77" s="4">
        <f t="shared" si="24"/>
        <v>33.208500000000008</v>
      </c>
      <c r="X77" s="4">
        <f t="shared" si="25"/>
        <v>57.104999999999997</v>
      </c>
      <c r="Y77" s="21">
        <f t="shared" si="26"/>
        <v>38.423749999999998</v>
      </c>
      <c r="Z77" s="4">
        <f t="shared" si="27"/>
        <v>37.06666666666667</v>
      </c>
      <c r="AA77" s="21">
        <f t="shared" si="28"/>
        <v>34.521999999999998</v>
      </c>
      <c r="AB77" s="4">
        <f t="shared" si="29"/>
        <v>35.657678333333337</v>
      </c>
      <c r="AC77" s="21">
        <f t="shared" si="30"/>
        <v>62.96609999999999</v>
      </c>
      <c r="AD77" s="21">
        <f t="shared" si="31"/>
        <v>35.441450000000003</v>
      </c>
    </row>
    <row r="78" spans="1:30" x14ac:dyDescent="0.3">
      <c r="A78" s="3" t="s">
        <v>96</v>
      </c>
      <c r="B78" s="3">
        <v>44</v>
      </c>
      <c r="C78" s="3">
        <v>81</v>
      </c>
      <c r="D78" s="3">
        <v>9</v>
      </c>
      <c r="E78" s="3">
        <v>13</v>
      </c>
      <c r="F78" s="3">
        <v>33</v>
      </c>
      <c r="G78" s="3">
        <v>95</v>
      </c>
      <c r="H78" s="3">
        <v>75</v>
      </c>
      <c r="I78" s="3">
        <v>38</v>
      </c>
      <c r="J78" s="3">
        <v>44</v>
      </c>
      <c r="K78" s="3">
        <v>2</v>
      </c>
      <c r="L78" s="3">
        <v>1</v>
      </c>
      <c r="M78" s="3">
        <v>3</v>
      </c>
      <c r="N78" s="3">
        <v>1</v>
      </c>
      <c r="O78" s="3">
        <v>2</v>
      </c>
      <c r="P78" s="3">
        <v>5</v>
      </c>
      <c r="Q78" s="3">
        <f t="shared" si="18"/>
        <v>38.6</v>
      </c>
      <c r="R78" s="3">
        <f t="shared" si="19"/>
        <v>61.650000000000006</v>
      </c>
      <c r="S78" s="3">
        <f t="shared" si="20"/>
        <v>11</v>
      </c>
      <c r="T78" s="3">
        <f t="shared" si="21"/>
        <v>55.000000000000007</v>
      </c>
      <c r="U78" s="4">
        <f t="shared" si="22"/>
        <v>31.754999999999995</v>
      </c>
      <c r="V78" s="4">
        <f t="shared" si="23"/>
        <v>43.987499999999997</v>
      </c>
      <c r="W78" s="4">
        <f t="shared" si="24"/>
        <v>34.201499999999996</v>
      </c>
      <c r="X78" s="4">
        <f t="shared" si="25"/>
        <v>53.22</v>
      </c>
      <c r="Y78" s="21">
        <f t="shared" si="26"/>
        <v>45.338750000000005</v>
      </c>
      <c r="Z78" s="4">
        <f t="shared" si="27"/>
        <v>45.783333333333331</v>
      </c>
      <c r="AA78" s="21">
        <f t="shared" si="28"/>
        <v>36.647999999999996</v>
      </c>
      <c r="AB78" s="4">
        <f t="shared" si="29"/>
        <v>39.283271666666664</v>
      </c>
      <c r="AC78" s="21">
        <f t="shared" si="30"/>
        <v>60.312400000000004</v>
      </c>
      <c r="AD78" s="21">
        <f t="shared" si="31"/>
        <v>38.360549999999996</v>
      </c>
    </row>
    <row r="79" spans="1:30" x14ac:dyDescent="0.3">
      <c r="A79" s="3" t="s">
        <v>97</v>
      </c>
      <c r="B79" s="3">
        <v>100</v>
      </c>
      <c r="C79" s="3">
        <v>7</v>
      </c>
      <c r="D79" s="3">
        <v>39</v>
      </c>
      <c r="E79" s="3">
        <v>99</v>
      </c>
      <c r="F79" s="3">
        <v>80</v>
      </c>
      <c r="G79" s="3">
        <v>59</v>
      </c>
      <c r="H79" s="3">
        <v>36</v>
      </c>
      <c r="I79" s="3">
        <v>77</v>
      </c>
      <c r="J79" s="3">
        <v>77</v>
      </c>
      <c r="K79" s="3">
        <v>9</v>
      </c>
      <c r="L79" s="3">
        <v>5</v>
      </c>
      <c r="M79" s="3">
        <v>1</v>
      </c>
      <c r="N79" s="3">
        <v>3</v>
      </c>
      <c r="O79" s="3">
        <v>4</v>
      </c>
      <c r="P79" s="3">
        <v>3</v>
      </c>
      <c r="Q79" s="3">
        <f t="shared" si="18"/>
        <v>45.95</v>
      </c>
      <c r="R79" s="3">
        <f t="shared" si="19"/>
        <v>54.55</v>
      </c>
      <c r="S79" s="3">
        <f t="shared" si="20"/>
        <v>11</v>
      </c>
      <c r="T79" s="3">
        <f t="shared" si="21"/>
        <v>55.000000000000007</v>
      </c>
      <c r="U79" s="4">
        <f t="shared" si="22"/>
        <v>41.510000000000005</v>
      </c>
      <c r="V79" s="4">
        <f t="shared" si="23"/>
        <v>61.6</v>
      </c>
      <c r="W79" s="4">
        <f t="shared" si="24"/>
        <v>45.528000000000006</v>
      </c>
      <c r="X79" s="4">
        <f t="shared" si="25"/>
        <v>34.214999999999996</v>
      </c>
      <c r="Y79" s="21">
        <f t="shared" si="26"/>
        <v>67.377499999999998</v>
      </c>
      <c r="Z79" s="4">
        <f t="shared" si="27"/>
        <v>66.816666666666663</v>
      </c>
      <c r="AA79" s="21">
        <f t="shared" si="28"/>
        <v>49.546000000000014</v>
      </c>
      <c r="AB79" s="4">
        <f t="shared" si="29"/>
        <v>52.889043333333341</v>
      </c>
      <c r="AC79" s="21">
        <f t="shared" si="30"/>
        <v>45.582299999999989</v>
      </c>
      <c r="AD79" s="21">
        <f t="shared" si="31"/>
        <v>52.358600000000003</v>
      </c>
    </row>
    <row r="80" spans="1:30" x14ac:dyDescent="0.3">
      <c r="A80" s="3" t="s">
        <v>98</v>
      </c>
      <c r="B80" s="3">
        <v>75</v>
      </c>
      <c r="C80" s="3">
        <v>23</v>
      </c>
      <c r="D80" s="3">
        <v>95</v>
      </c>
      <c r="E80" s="3">
        <v>18</v>
      </c>
      <c r="F80" s="3">
        <v>54</v>
      </c>
      <c r="G80" s="3">
        <v>11</v>
      </c>
      <c r="H80" s="3">
        <v>75</v>
      </c>
      <c r="I80" s="3">
        <v>71</v>
      </c>
      <c r="J80" s="3">
        <v>59</v>
      </c>
      <c r="K80" s="3">
        <v>100</v>
      </c>
      <c r="L80" s="3">
        <v>6</v>
      </c>
      <c r="M80" s="3">
        <v>4</v>
      </c>
      <c r="N80" s="3">
        <v>5</v>
      </c>
      <c r="O80" s="3">
        <v>5</v>
      </c>
      <c r="P80" s="3">
        <v>2</v>
      </c>
      <c r="Q80" s="3">
        <f t="shared" si="18"/>
        <v>48.25</v>
      </c>
      <c r="R80" s="3">
        <f t="shared" si="19"/>
        <v>55.1</v>
      </c>
      <c r="S80" s="3">
        <f t="shared" si="20"/>
        <v>16</v>
      </c>
      <c r="T80" s="3">
        <f t="shared" si="21"/>
        <v>80</v>
      </c>
      <c r="U80" s="4">
        <f t="shared" si="22"/>
        <v>42.924999999999997</v>
      </c>
      <c r="V80" s="4">
        <f t="shared" si="23"/>
        <v>62.037500000000001</v>
      </c>
      <c r="W80" s="4">
        <f t="shared" si="24"/>
        <v>46.747499999999995</v>
      </c>
      <c r="X80" s="4">
        <f t="shared" si="25"/>
        <v>31.024999999999999</v>
      </c>
      <c r="Y80" s="21">
        <f t="shared" si="26"/>
        <v>68.981250000000003</v>
      </c>
      <c r="Z80" s="4">
        <f t="shared" si="27"/>
        <v>66.63333333333334</v>
      </c>
      <c r="AA80" s="21">
        <f t="shared" si="28"/>
        <v>50.57</v>
      </c>
      <c r="AB80" s="4">
        <f t="shared" si="29"/>
        <v>53.765741666666671</v>
      </c>
      <c r="AC80" s="21">
        <f t="shared" si="30"/>
        <v>43.908500000000004</v>
      </c>
      <c r="AD80" s="21">
        <f t="shared" si="31"/>
        <v>53.245750000000001</v>
      </c>
    </row>
    <row r="81" spans="1:30" x14ac:dyDescent="0.3">
      <c r="A81" s="3" t="s">
        <v>99</v>
      </c>
      <c r="B81" s="3">
        <v>74</v>
      </c>
      <c r="C81" s="3">
        <v>92</v>
      </c>
      <c r="D81" s="3">
        <v>92</v>
      </c>
      <c r="E81" s="3">
        <v>53</v>
      </c>
      <c r="F81" s="3">
        <v>44</v>
      </c>
      <c r="G81" s="3">
        <v>68</v>
      </c>
      <c r="H81" s="3">
        <v>44</v>
      </c>
      <c r="I81" s="3">
        <v>16</v>
      </c>
      <c r="J81" s="3">
        <v>64</v>
      </c>
      <c r="K81" s="3">
        <v>48</v>
      </c>
      <c r="L81" s="3">
        <v>6</v>
      </c>
      <c r="M81" s="3">
        <v>2</v>
      </c>
      <c r="N81" s="3">
        <v>2</v>
      </c>
      <c r="O81" s="3">
        <v>3</v>
      </c>
      <c r="P81" s="3">
        <v>4</v>
      </c>
      <c r="Q81" s="3">
        <f t="shared" si="18"/>
        <v>77</v>
      </c>
      <c r="R81" s="3">
        <f t="shared" si="19"/>
        <v>49</v>
      </c>
      <c r="S81" s="3">
        <f t="shared" si="20"/>
        <v>11</v>
      </c>
      <c r="T81" s="3">
        <f t="shared" si="21"/>
        <v>55.000000000000007</v>
      </c>
      <c r="U81" s="4">
        <f t="shared" si="22"/>
        <v>54.599999999999994</v>
      </c>
      <c r="V81" s="4">
        <f t="shared" si="23"/>
        <v>64.25</v>
      </c>
      <c r="W81" s="4">
        <f t="shared" si="24"/>
        <v>56.53</v>
      </c>
      <c r="X81" s="4">
        <f t="shared" si="25"/>
        <v>32.699999999999996</v>
      </c>
      <c r="Y81" s="21">
        <f t="shared" si="26"/>
        <v>61.550000000000004</v>
      </c>
      <c r="Z81" s="4">
        <f t="shared" si="27"/>
        <v>60</v>
      </c>
      <c r="AA81" s="21">
        <f t="shared" si="28"/>
        <v>58.46</v>
      </c>
      <c r="AB81" s="4">
        <f t="shared" si="29"/>
        <v>57.772099999999995</v>
      </c>
      <c r="AC81" s="21">
        <f t="shared" si="30"/>
        <v>38.887999999999998</v>
      </c>
      <c r="AD81" s="21">
        <f t="shared" si="31"/>
        <v>59.810999999999993</v>
      </c>
    </row>
    <row r="82" spans="1:30" x14ac:dyDescent="0.3">
      <c r="A82" s="3" t="s">
        <v>100</v>
      </c>
      <c r="B82" s="3">
        <v>44</v>
      </c>
      <c r="C82" s="3">
        <v>1</v>
      </c>
      <c r="D82" s="3">
        <v>97</v>
      </c>
      <c r="E82" s="3">
        <v>12</v>
      </c>
      <c r="F82" s="3">
        <v>25</v>
      </c>
      <c r="G82" s="3">
        <v>0</v>
      </c>
      <c r="H82" s="3">
        <v>78</v>
      </c>
      <c r="I82" s="3">
        <v>90</v>
      </c>
      <c r="J82" s="3">
        <v>20</v>
      </c>
      <c r="K82" s="3">
        <v>44</v>
      </c>
      <c r="L82" s="3">
        <v>19</v>
      </c>
      <c r="M82" s="3">
        <v>2</v>
      </c>
      <c r="N82" s="3">
        <v>4</v>
      </c>
      <c r="O82" s="3">
        <v>2</v>
      </c>
      <c r="P82" s="3">
        <v>1</v>
      </c>
      <c r="Q82" s="3">
        <f t="shared" si="18"/>
        <v>35.6</v>
      </c>
      <c r="R82" s="3">
        <f t="shared" si="19"/>
        <v>44.9</v>
      </c>
      <c r="S82" s="3">
        <f t="shared" si="20"/>
        <v>9</v>
      </c>
      <c r="T82" s="3">
        <f t="shared" si="21"/>
        <v>45</v>
      </c>
      <c r="U82" s="4">
        <f t="shared" si="22"/>
        <v>57.230000000000004</v>
      </c>
      <c r="V82" s="4">
        <f t="shared" si="23"/>
        <v>44.924999999999997</v>
      </c>
      <c r="W82" s="4">
        <f t="shared" si="24"/>
        <v>54.769000000000005</v>
      </c>
      <c r="X82" s="4">
        <f t="shared" si="25"/>
        <v>58.120000000000005</v>
      </c>
      <c r="Y82" s="21">
        <f t="shared" si="26"/>
        <v>47.707499999999996</v>
      </c>
      <c r="Z82" s="4">
        <f t="shared" si="27"/>
        <v>48.033333333333331</v>
      </c>
      <c r="AA82" s="21">
        <f t="shared" si="28"/>
        <v>52.308</v>
      </c>
      <c r="AB82" s="4">
        <f t="shared" si="29"/>
        <v>51.505496666666673</v>
      </c>
      <c r="AC82" s="21">
        <f t="shared" si="30"/>
        <v>50.820399999999999</v>
      </c>
      <c r="AD82" s="21">
        <f t="shared" si="31"/>
        <v>50.585300000000004</v>
      </c>
    </row>
    <row r="83" spans="1:30" x14ac:dyDescent="0.3">
      <c r="A83" s="3" t="s">
        <v>101</v>
      </c>
      <c r="B83" s="3">
        <v>51</v>
      </c>
      <c r="C83" s="3">
        <v>61</v>
      </c>
      <c r="D83" s="3">
        <v>39</v>
      </c>
      <c r="E83" s="3">
        <v>12</v>
      </c>
      <c r="F83" s="3">
        <v>24</v>
      </c>
      <c r="G83" s="3">
        <v>45</v>
      </c>
      <c r="H83" s="3">
        <v>12</v>
      </c>
      <c r="I83" s="3">
        <v>70</v>
      </c>
      <c r="J83" s="3">
        <v>71</v>
      </c>
      <c r="K83" s="3">
        <v>6</v>
      </c>
      <c r="L83" s="3">
        <v>14</v>
      </c>
      <c r="M83" s="3">
        <v>3</v>
      </c>
      <c r="N83" s="3">
        <v>4</v>
      </c>
      <c r="O83" s="3">
        <v>1</v>
      </c>
      <c r="P83" s="3">
        <v>5</v>
      </c>
      <c r="Q83" s="3">
        <f t="shared" si="18"/>
        <v>39.049999999999997</v>
      </c>
      <c r="R83" s="3">
        <f t="shared" si="19"/>
        <v>41.75</v>
      </c>
      <c r="S83" s="3">
        <f t="shared" si="20"/>
        <v>13</v>
      </c>
      <c r="T83" s="3">
        <f t="shared" si="21"/>
        <v>65</v>
      </c>
      <c r="U83" s="4">
        <f t="shared" si="22"/>
        <v>54.839999999999996</v>
      </c>
      <c r="V83" s="4">
        <f t="shared" si="23"/>
        <v>53.325000000000003</v>
      </c>
      <c r="W83" s="4">
        <f t="shared" si="24"/>
        <v>54.536999999999999</v>
      </c>
      <c r="X83" s="4">
        <f t="shared" si="25"/>
        <v>46.984999999999999</v>
      </c>
      <c r="Y83" s="21">
        <f t="shared" si="26"/>
        <v>57.559999999999995</v>
      </c>
      <c r="Z83" s="4">
        <f t="shared" si="27"/>
        <v>58.083333333333336</v>
      </c>
      <c r="AA83" s="21">
        <f t="shared" si="28"/>
        <v>54.234000000000002</v>
      </c>
      <c r="AB83" s="4">
        <f t="shared" si="29"/>
        <v>55.754506666666671</v>
      </c>
      <c r="AC83" s="21">
        <f t="shared" si="30"/>
        <v>46.131700000000002</v>
      </c>
      <c r="AD83" s="21">
        <f t="shared" si="31"/>
        <v>54.021900000000002</v>
      </c>
    </row>
    <row r="84" spans="1:30" x14ac:dyDescent="0.3">
      <c r="A84" s="3" t="s">
        <v>102</v>
      </c>
      <c r="B84" s="3">
        <v>1</v>
      </c>
      <c r="C84" s="3">
        <v>34</v>
      </c>
      <c r="D84" s="3">
        <v>19</v>
      </c>
      <c r="E84" s="3">
        <v>90</v>
      </c>
      <c r="F84" s="3">
        <v>26</v>
      </c>
      <c r="G84" s="3">
        <v>99</v>
      </c>
      <c r="H84" s="3">
        <v>27</v>
      </c>
      <c r="I84" s="3">
        <v>56</v>
      </c>
      <c r="J84" s="3">
        <v>68</v>
      </c>
      <c r="K84" s="3">
        <v>46</v>
      </c>
      <c r="L84" s="3">
        <v>18</v>
      </c>
      <c r="M84" s="3">
        <v>3</v>
      </c>
      <c r="N84" s="3">
        <v>2</v>
      </c>
      <c r="O84" s="3">
        <v>5</v>
      </c>
      <c r="P84" s="3">
        <v>1</v>
      </c>
      <c r="Q84" s="3">
        <f t="shared" si="18"/>
        <v>39.499999999999993</v>
      </c>
      <c r="R84" s="3">
        <f t="shared" si="19"/>
        <v>62.45000000000001</v>
      </c>
      <c r="S84" s="3">
        <f t="shared" si="20"/>
        <v>11</v>
      </c>
      <c r="T84" s="3">
        <f t="shared" si="21"/>
        <v>55.000000000000007</v>
      </c>
      <c r="U84" s="4">
        <f t="shared" si="22"/>
        <v>48.624999999999993</v>
      </c>
      <c r="V84" s="4">
        <f t="shared" si="23"/>
        <v>33.262499999999996</v>
      </c>
      <c r="W84" s="4">
        <f t="shared" si="24"/>
        <v>45.552499999999995</v>
      </c>
      <c r="X84" s="4">
        <f t="shared" si="25"/>
        <v>65.849999999999994</v>
      </c>
      <c r="Y84" s="21">
        <f t="shared" si="26"/>
        <v>34.506250000000001</v>
      </c>
      <c r="Z84" s="4">
        <f t="shared" si="27"/>
        <v>31.183333333333334</v>
      </c>
      <c r="AA84" s="21">
        <f t="shared" si="28"/>
        <v>42.48</v>
      </c>
      <c r="AB84" s="4">
        <f t="shared" si="29"/>
        <v>39.306341666666661</v>
      </c>
      <c r="AC84" s="21">
        <f t="shared" si="30"/>
        <v>60.019000000000013</v>
      </c>
      <c r="AD84" s="21">
        <f t="shared" si="31"/>
        <v>40.329249999999995</v>
      </c>
    </row>
    <row r="85" spans="1:30" x14ac:dyDescent="0.3">
      <c r="A85" s="3" t="s">
        <v>103</v>
      </c>
      <c r="B85" s="3">
        <v>31</v>
      </c>
      <c r="C85" s="3">
        <v>79</v>
      </c>
      <c r="D85" s="3">
        <v>100</v>
      </c>
      <c r="E85" s="3">
        <v>63</v>
      </c>
      <c r="F85" s="3">
        <v>62</v>
      </c>
      <c r="G85" s="3">
        <v>93</v>
      </c>
      <c r="H85" s="3">
        <v>95</v>
      </c>
      <c r="I85" s="3">
        <v>44</v>
      </c>
      <c r="J85" s="3">
        <v>71</v>
      </c>
      <c r="K85" s="3">
        <v>90</v>
      </c>
      <c r="L85" s="3">
        <v>2</v>
      </c>
      <c r="M85" s="3">
        <v>3</v>
      </c>
      <c r="N85" s="3">
        <v>4</v>
      </c>
      <c r="O85" s="3">
        <v>3</v>
      </c>
      <c r="P85" s="3">
        <v>3</v>
      </c>
      <c r="Q85" s="3">
        <f t="shared" si="18"/>
        <v>79.55</v>
      </c>
      <c r="R85" s="3">
        <f t="shared" si="19"/>
        <v>80.100000000000009</v>
      </c>
      <c r="S85" s="3">
        <f t="shared" si="20"/>
        <v>13</v>
      </c>
      <c r="T85" s="3">
        <f t="shared" si="21"/>
        <v>65</v>
      </c>
      <c r="U85" s="4">
        <f t="shared" si="22"/>
        <v>35.814999999999998</v>
      </c>
      <c r="V85" s="4">
        <f t="shared" si="23"/>
        <v>48.862499999999997</v>
      </c>
      <c r="W85" s="4">
        <f t="shared" si="24"/>
        <v>38.424500000000002</v>
      </c>
      <c r="X85" s="4">
        <f t="shared" si="25"/>
        <v>40.835000000000001</v>
      </c>
      <c r="Y85" s="21">
        <f t="shared" si="26"/>
        <v>45.803750000000001</v>
      </c>
      <c r="Z85" s="4">
        <f t="shared" si="27"/>
        <v>38.633333333333333</v>
      </c>
      <c r="AA85" s="21">
        <f t="shared" si="28"/>
        <v>41.033999999999999</v>
      </c>
      <c r="AB85" s="4">
        <f t="shared" si="29"/>
        <v>37.924631666666663</v>
      </c>
      <c r="AC85" s="21">
        <f t="shared" si="30"/>
        <v>53.526700000000005</v>
      </c>
      <c r="AD85" s="21">
        <f t="shared" si="31"/>
        <v>42.860649999999993</v>
      </c>
    </row>
    <row r="86" spans="1:30" x14ac:dyDescent="0.3">
      <c r="A86" s="3" t="s">
        <v>104</v>
      </c>
      <c r="B86" s="3">
        <v>91</v>
      </c>
      <c r="C86" s="3">
        <v>50</v>
      </c>
      <c r="D86" s="3">
        <v>47</v>
      </c>
      <c r="E86" s="3">
        <v>40</v>
      </c>
      <c r="F86" s="3">
        <v>77</v>
      </c>
      <c r="G86" s="3">
        <v>8</v>
      </c>
      <c r="H86" s="3">
        <v>26</v>
      </c>
      <c r="I86" s="3">
        <v>16</v>
      </c>
      <c r="J86" s="3">
        <v>22</v>
      </c>
      <c r="K86" s="3">
        <v>57</v>
      </c>
      <c r="L86" s="3">
        <v>12</v>
      </c>
      <c r="M86" s="3">
        <v>5</v>
      </c>
      <c r="N86" s="3">
        <v>3</v>
      </c>
      <c r="O86" s="3">
        <v>3</v>
      </c>
      <c r="P86" s="3">
        <v>4</v>
      </c>
      <c r="Q86" s="3">
        <f t="shared" si="18"/>
        <v>51.15</v>
      </c>
      <c r="R86" s="3">
        <f t="shared" si="19"/>
        <v>21.1</v>
      </c>
      <c r="S86" s="3">
        <f t="shared" si="20"/>
        <v>15</v>
      </c>
      <c r="T86" s="3">
        <f t="shared" si="21"/>
        <v>75</v>
      </c>
      <c r="U86" s="4">
        <f t="shared" si="22"/>
        <v>66.795000000000002</v>
      </c>
      <c r="V86" s="4">
        <f t="shared" si="23"/>
        <v>74.012500000000003</v>
      </c>
      <c r="W86" s="4">
        <f t="shared" si="24"/>
        <v>68.238500000000016</v>
      </c>
      <c r="X86" s="4">
        <f t="shared" si="25"/>
        <v>27.355</v>
      </c>
      <c r="Y86" s="21">
        <f t="shared" si="26"/>
        <v>78.548749999999998</v>
      </c>
      <c r="Z86" s="4">
        <f t="shared" si="27"/>
        <v>81.63333333333334</v>
      </c>
      <c r="AA86" s="21">
        <f t="shared" si="28"/>
        <v>69.682000000000002</v>
      </c>
      <c r="AB86" s="4">
        <f t="shared" si="29"/>
        <v>73.739611666666661</v>
      </c>
      <c r="AC86" s="21">
        <f t="shared" si="30"/>
        <v>29.429099999999995</v>
      </c>
      <c r="AD86" s="21">
        <f t="shared" si="31"/>
        <v>70.692450000000008</v>
      </c>
    </row>
    <row r="87" spans="1:30" x14ac:dyDescent="0.3">
      <c r="A87" s="3" t="s">
        <v>105</v>
      </c>
      <c r="B87" s="3">
        <v>31</v>
      </c>
      <c r="C87" s="3">
        <v>88</v>
      </c>
      <c r="D87" s="3">
        <v>80</v>
      </c>
      <c r="E87" s="3">
        <v>50</v>
      </c>
      <c r="F87" s="3">
        <v>68</v>
      </c>
      <c r="G87" s="3">
        <v>94</v>
      </c>
      <c r="H87" s="3">
        <v>3</v>
      </c>
      <c r="I87" s="3">
        <v>74</v>
      </c>
      <c r="J87" s="3">
        <v>54</v>
      </c>
      <c r="K87" s="3">
        <v>34</v>
      </c>
      <c r="L87" s="3">
        <v>15</v>
      </c>
      <c r="M87" s="3">
        <v>3</v>
      </c>
      <c r="N87" s="3">
        <v>5</v>
      </c>
      <c r="O87" s="3">
        <v>3</v>
      </c>
      <c r="P87" s="3">
        <v>4</v>
      </c>
      <c r="Q87" s="3">
        <f t="shared" si="18"/>
        <v>75</v>
      </c>
      <c r="R87" s="3">
        <f t="shared" si="19"/>
        <v>55.25</v>
      </c>
      <c r="S87" s="3">
        <f t="shared" si="20"/>
        <v>15</v>
      </c>
      <c r="T87" s="3">
        <f t="shared" si="21"/>
        <v>75</v>
      </c>
      <c r="U87" s="4">
        <f t="shared" si="22"/>
        <v>59.875</v>
      </c>
      <c r="V87" s="4">
        <f t="shared" si="23"/>
        <v>56.4375</v>
      </c>
      <c r="W87" s="4">
        <f t="shared" si="24"/>
        <v>59.187500000000007</v>
      </c>
      <c r="X87" s="4">
        <f t="shared" si="25"/>
        <v>38.200000000000003</v>
      </c>
      <c r="Y87" s="21">
        <f t="shared" si="26"/>
        <v>55.818750000000001</v>
      </c>
      <c r="Z87" s="4">
        <f t="shared" si="27"/>
        <v>50.25</v>
      </c>
      <c r="AA87" s="21">
        <f t="shared" si="28"/>
        <v>58.5</v>
      </c>
      <c r="AB87" s="4">
        <f t="shared" si="29"/>
        <v>54.890625000000007</v>
      </c>
      <c r="AC87" s="21">
        <f t="shared" si="30"/>
        <v>40.510000000000005</v>
      </c>
      <c r="AD87" s="21">
        <f t="shared" si="31"/>
        <v>58.018749999999997</v>
      </c>
    </row>
    <row r="88" spans="1:30" x14ac:dyDescent="0.3">
      <c r="A88" s="3" t="s">
        <v>106</v>
      </c>
      <c r="B88" s="3">
        <v>38</v>
      </c>
      <c r="C88" s="3">
        <v>68</v>
      </c>
      <c r="D88" s="3">
        <v>74</v>
      </c>
      <c r="E88" s="3">
        <v>18</v>
      </c>
      <c r="F88" s="3">
        <v>12</v>
      </c>
      <c r="G88" s="3">
        <v>6</v>
      </c>
      <c r="H88" s="3">
        <v>13</v>
      </c>
      <c r="I88" s="3">
        <v>40</v>
      </c>
      <c r="J88" s="3">
        <v>14</v>
      </c>
      <c r="K88" s="3">
        <v>85</v>
      </c>
      <c r="L88" s="3">
        <v>12</v>
      </c>
      <c r="M88" s="3">
        <v>1</v>
      </c>
      <c r="N88" s="3">
        <v>2</v>
      </c>
      <c r="O88" s="3">
        <v>2</v>
      </c>
      <c r="P88" s="3">
        <v>5</v>
      </c>
      <c r="Q88" s="3">
        <f t="shared" si="18"/>
        <v>51.4</v>
      </c>
      <c r="R88" s="3">
        <f t="shared" si="19"/>
        <v>23.65</v>
      </c>
      <c r="S88" s="3">
        <f t="shared" si="20"/>
        <v>10</v>
      </c>
      <c r="T88" s="3">
        <f t="shared" si="21"/>
        <v>50</v>
      </c>
      <c r="U88" s="4">
        <f t="shared" si="22"/>
        <v>65.594999999999999</v>
      </c>
      <c r="V88" s="4">
        <f t="shared" si="23"/>
        <v>53.9375</v>
      </c>
      <c r="W88" s="4">
        <f t="shared" si="24"/>
        <v>63.263500000000001</v>
      </c>
      <c r="X88" s="4">
        <f t="shared" si="25"/>
        <v>53.18</v>
      </c>
      <c r="Y88" s="21">
        <f t="shared" si="26"/>
        <v>49.698749999999997</v>
      </c>
      <c r="Z88" s="4">
        <f t="shared" si="27"/>
        <v>54.783333333333331</v>
      </c>
      <c r="AA88" s="21">
        <f t="shared" si="28"/>
        <v>60.931999999999995</v>
      </c>
      <c r="AB88" s="4">
        <f t="shared" si="29"/>
        <v>61.671611666666664</v>
      </c>
      <c r="AC88" s="21">
        <f t="shared" si="30"/>
        <v>43.301600000000001</v>
      </c>
      <c r="AD88" s="21">
        <f t="shared" si="31"/>
        <v>59.299950000000003</v>
      </c>
    </row>
    <row r="89" spans="1:30" x14ac:dyDescent="0.3">
      <c r="A89" s="3" t="s">
        <v>107</v>
      </c>
      <c r="B89" s="3">
        <v>79</v>
      </c>
      <c r="C89" s="3">
        <v>50</v>
      </c>
      <c r="D89" s="3">
        <v>37</v>
      </c>
      <c r="E89" s="3">
        <v>5</v>
      </c>
      <c r="F89" s="3">
        <v>74</v>
      </c>
      <c r="G89" s="3">
        <v>66</v>
      </c>
      <c r="H89" s="3">
        <v>92</v>
      </c>
      <c r="I89" s="3">
        <v>60</v>
      </c>
      <c r="J89" s="3">
        <v>68</v>
      </c>
      <c r="K89" s="3">
        <v>96</v>
      </c>
      <c r="L89" s="3">
        <v>20</v>
      </c>
      <c r="M89" s="3">
        <v>3</v>
      </c>
      <c r="N89" s="3">
        <v>4</v>
      </c>
      <c r="O89" s="3">
        <v>4</v>
      </c>
      <c r="P89" s="3">
        <v>4</v>
      </c>
      <c r="Q89" s="3">
        <f t="shared" si="18"/>
        <v>40.700000000000003</v>
      </c>
      <c r="R89" s="3">
        <f t="shared" si="19"/>
        <v>74.599999999999994</v>
      </c>
      <c r="S89" s="3">
        <f t="shared" si="20"/>
        <v>15</v>
      </c>
      <c r="T89" s="3">
        <f t="shared" si="21"/>
        <v>75</v>
      </c>
      <c r="U89" s="4">
        <f t="shared" si="22"/>
        <v>44.910000000000004</v>
      </c>
      <c r="V89" s="4">
        <f t="shared" si="23"/>
        <v>55.025000000000006</v>
      </c>
      <c r="W89" s="4">
        <f t="shared" si="24"/>
        <v>46.933000000000007</v>
      </c>
      <c r="X89" s="4">
        <f t="shared" si="25"/>
        <v>34.090000000000003</v>
      </c>
      <c r="Y89" s="21">
        <f t="shared" si="26"/>
        <v>68.877499999999998</v>
      </c>
      <c r="Z89" s="4">
        <f t="shared" si="27"/>
        <v>59.800000000000004</v>
      </c>
      <c r="AA89" s="21">
        <f t="shared" si="28"/>
        <v>48.955999999999996</v>
      </c>
      <c r="AB89" s="4">
        <f t="shared" si="29"/>
        <v>48.086810000000007</v>
      </c>
      <c r="AC89" s="21">
        <f t="shared" si="30"/>
        <v>45.957799999999999</v>
      </c>
      <c r="AD89" s="21">
        <f t="shared" si="31"/>
        <v>50.372100000000003</v>
      </c>
    </row>
    <row r="90" spans="1:30" x14ac:dyDescent="0.3">
      <c r="A90" s="3" t="s">
        <v>108</v>
      </c>
      <c r="B90" s="3">
        <v>68</v>
      </c>
      <c r="C90" s="3">
        <v>22</v>
      </c>
      <c r="D90" s="3">
        <v>27</v>
      </c>
      <c r="E90" s="3">
        <v>51</v>
      </c>
      <c r="F90" s="3">
        <v>8</v>
      </c>
      <c r="G90" s="3">
        <v>48</v>
      </c>
      <c r="H90" s="3">
        <v>68</v>
      </c>
      <c r="I90" s="3">
        <v>76</v>
      </c>
      <c r="J90" s="3">
        <v>21</v>
      </c>
      <c r="K90" s="3">
        <v>24</v>
      </c>
      <c r="L90" s="3">
        <v>10</v>
      </c>
      <c r="M90" s="3">
        <v>2</v>
      </c>
      <c r="N90" s="3">
        <v>5</v>
      </c>
      <c r="O90" s="3">
        <v>2</v>
      </c>
      <c r="P90" s="3">
        <v>1</v>
      </c>
      <c r="Q90" s="3">
        <f t="shared" si="18"/>
        <v>27.2</v>
      </c>
      <c r="R90" s="3">
        <f t="shared" si="19"/>
        <v>52.15</v>
      </c>
      <c r="S90" s="3">
        <f t="shared" si="20"/>
        <v>10</v>
      </c>
      <c r="T90" s="3">
        <f t="shared" si="21"/>
        <v>50</v>
      </c>
      <c r="U90" s="4">
        <f t="shared" si="22"/>
        <v>42.085000000000001</v>
      </c>
      <c r="V90" s="4">
        <f t="shared" si="23"/>
        <v>48.262500000000003</v>
      </c>
      <c r="W90" s="4">
        <f t="shared" si="24"/>
        <v>43.320500000000003</v>
      </c>
      <c r="X90" s="4">
        <f t="shared" si="25"/>
        <v>51.44</v>
      </c>
      <c r="Y90" s="21">
        <f t="shared" si="26"/>
        <v>54.321249999999999</v>
      </c>
      <c r="Z90" s="4">
        <f t="shared" si="27"/>
        <v>55.283333333333331</v>
      </c>
      <c r="AA90" s="21">
        <f t="shared" si="28"/>
        <v>44.556000000000004</v>
      </c>
      <c r="AB90" s="4">
        <f t="shared" si="29"/>
        <v>47.42960166666667</v>
      </c>
      <c r="AC90" s="21">
        <f t="shared" si="30"/>
        <v>54.242800000000003</v>
      </c>
      <c r="AD90" s="21">
        <f t="shared" si="31"/>
        <v>45.420850000000002</v>
      </c>
    </row>
    <row r="91" spans="1:30" x14ac:dyDescent="0.3">
      <c r="A91" s="3" t="s">
        <v>109</v>
      </c>
      <c r="B91" s="3">
        <v>16</v>
      </c>
      <c r="C91" s="3">
        <v>94</v>
      </c>
      <c r="D91" s="3">
        <v>80</v>
      </c>
      <c r="E91" s="3">
        <v>75</v>
      </c>
      <c r="F91" s="3">
        <v>51</v>
      </c>
      <c r="G91" s="3">
        <v>38</v>
      </c>
      <c r="H91" s="3">
        <v>39</v>
      </c>
      <c r="I91" s="3">
        <v>4</v>
      </c>
      <c r="J91" s="3">
        <v>83</v>
      </c>
      <c r="K91" s="3">
        <v>85</v>
      </c>
      <c r="L91" s="3">
        <v>6</v>
      </c>
      <c r="M91" s="3">
        <v>3</v>
      </c>
      <c r="N91" s="3">
        <v>4</v>
      </c>
      <c r="O91" s="3">
        <v>1</v>
      </c>
      <c r="P91" s="3">
        <v>5</v>
      </c>
      <c r="Q91" s="3">
        <f t="shared" si="18"/>
        <v>79.550000000000011</v>
      </c>
      <c r="R91" s="3">
        <f t="shared" si="19"/>
        <v>42.9</v>
      </c>
      <c r="S91" s="3">
        <f t="shared" si="20"/>
        <v>13</v>
      </c>
      <c r="T91" s="3">
        <f t="shared" si="21"/>
        <v>65</v>
      </c>
      <c r="U91" s="4">
        <f t="shared" si="22"/>
        <v>58.415000000000006</v>
      </c>
      <c r="V91" s="4">
        <f t="shared" si="23"/>
        <v>54.412500000000001</v>
      </c>
      <c r="W91" s="4">
        <f t="shared" si="24"/>
        <v>57.614500000000007</v>
      </c>
      <c r="X91" s="4">
        <f t="shared" si="25"/>
        <v>45.334999999999994</v>
      </c>
      <c r="Y91" s="21">
        <f t="shared" si="26"/>
        <v>46.203749999999999</v>
      </c>
      <c r="Z91" s="4">
        <f t="shared" si="27"/>
        <v>46.033333333333331</v>
      </c>
      <c r="AA91" s="21">
        <f t="shared" si="28"/>
        <v>56.814</v>
      </c>
      <c r="AB91" s="4">
        <f t="shared" si="29"/>
        <v>54.736931666666678</v>
      </c>
      <c r="AC91" s="21">
        <f t="shared" si="30"/>
        <v>43.830699999999993</v>
      </c>
      <c r="AD91" s="21">
        <f t="shared" si="31"/>
        <v>56.25365</v>
      </c>
    </row>
    <row r="92" spans="1:30" x14ac:dyDescent="0.3">
      <c r="A92" s="3" t="s">
        <v>110</v>
      </c>
      <c r="B92" s="3">
        <v>26</v>
      </c>
      <c r="C92" s="3">
        <v>3</v>
      </c>
      <c r="D92" s="3">
        <v>13</v>
      </c>
      <c r="E92" s="3">
        <v>31</v>
      </c>
      <c r="F92" s="3">
        <v>44</v>
      </c>
      <c r="G92" s="3">
        <v>84</v>
      </c>
      <c r="H92" s="3">
        <v>8</v>
      </c>
      <c r="I92" s="3">
        <v>64</v>
      </c>
      <c r="J92" s="3">
        <v>12</v>
      </c>
      <c r="K92" s="3">
        <v>71</v>
      </c>
      <c r="L92" s="3">
        <v>2</v>
      </c>
      <c r="M92" s="3">
        <v>4</v>
      </c>
      <c r="N92" s="3">
        <v>2</v>
      </c>
      <c r="O92" s="3">
        <v>3</v>
      </c>
      <c r="P92" s="3">
        <v>4</v>
      </c>
      <c r="Q92" s="3">
        <f t="shared" si="18"/>
        <v>17.75</v>
      </c>
      <c r="R92" s="3">
        <f t="shared" si="19"/>
        <v>48.9</v>
      </c>
      <c r="S92" s="3">
        <f t="shared" si="20"/>
        <v>13</v>
      </c>
      <c r="T92" s="3">
        <f t="shared" si="21"/>
        <v>65</v>
      </c>
      <c r="U92" s="4">
        <f t="shared" si="22"/>
        <v>32.875</v>
      </c>
      <c r="V92" s="4">
        <f t="shared" si="23"/>
        <v>39.962499999999999</v>
      </c>
      <c r="W92" s="4">
        <f t="shared" si="24"/>
        <v>34.292500000000004</v>
      </c>
      <c r="X92" s="4">
        <f t="shared" si="25"/>
        <v>60.875</v>
      </c>
      <c r="Y92" s="21">
        <f t="shared" si="26"/>
        <v>43.318750000000001</v>
      </c>
      <c r="Z92" s="4">
        <f t="shared" si="27"/>
        <v>47.366666666666667</v>
      </c>
      <c r="AA92" s="21">
        <f t="shared" si="28"/>
        <v>35.71</v>
      </c>
      <c r="AB92" s="4">
        <f t="shared" si="29"/>
        <v>41.022058333333334</v>
      </c>
      <c r="AC92" s="21">
        <f t="shared" si="30"/>
        <v>63.265500000000003</v>
      </c>
      <c r="AD92" s="21">
        <f t="shared" si="31"/>
        <v>36.702249999999999</v>
      </c>
    </row>
    <row r="93" spans="1:30" x14ac:dyDescent="0.3">
      <c r="A93" s="3" t="s">
        <v>111</v>
      </c>
      <c r="B93" s="3">
        <v>55</v>
      </c>
      <c r="C93" s="3">
        <v>38</v>
      </c>
      <c r="D93" s="3">
        <v>16</v>
      </c>
      <c r="E93" s="3">
        <v>9</v>
      </c>
      <c r="F93" s="3">
        <v>93</v>
      </c>
      <c r="G93" s="3">
        <v>42</v>
      </c>
      <c r="H93" s="3">
        <v>98</v>
      </c>
      <c r="I93" s="3">
        <v>21</v>
      </c>
      <c r="J93" s="3">
        <v>78</v>
      </c>
      <c r="K93" s="3">
        <v>66</v>
      </c>
      <c r="L93" s="3">
        <v>20</v>
      </c>
      <c r="M93" s="3">
        <v>2</v>
      </c>
      <c r="N93" s="3">
        <v>5</v>
      </c>
      <c r="O93" s="3">
        <v>2</v>
      </c>
      <c r="P93" s="3">
        <v>3</v>
      </c>
      <c r="Q93" s="3">
        <f t="shared" si="18"/>
        <v>33.849999999999994</v>
      </c>
      <c r="R93" s="3">
        <f t="shared" si="19"/>
        <v>59.6</v>
      </c>
      <c r="S93" s="3">
        <f t="shared" si="20"/>
        <v>12</v>
      </c>
      <c r="T93" s="3">
        <f t="shared" si="21"/>
        <v>60</v>
      </c>
      <c r="U93" s="4">
        <f t="shared" si="22"/>
        <v>50.354999999999997</v>
      </c>
      <c r="V93" s="4">
        <f t="shared" si="23"/>
        <v>47.3125</v>
      </c>
      <c r="W93" s="4">
        <f t="shared" si="24"/>
        <v>49.746499999999997</v>
      </c>
      <c r="X93" s="4">
        <f t="shared" si="25"/>
        <v>49.344999999999999</v>
      </c>
      <c r="Y93" s="21">
        <f t="shared" si="26"/>
        <v>55.838749999999997</v>
      </c>
      <c r="Z93" s="4">
        <f t="shared" si="27"/>
        <v>51.800000000000004</v>
      </c>
      <c r="AA93" s="21">
        <f t="shared" si="28"/>
        <v>49.137999999999998</v>
      </c>
      <c r="AB93" s="4">
        <f t="shared" si="29"/>
        <v>48.412004999999994</v>
      </c>
      <c r="AC93" s="21">
        <f t="shared" si="30"/>
        <v>50.4069</v>
      </c>
      <c r="AD93" s="21">
        <f t="shared" si="31"/>
        <v>48.712049999999998</v>
      </c>
    </row>
    <row r="94" spans="1:30" x14ac:dyDescent="0.3">
      <c r="A94" s="3" t="s">
        <v>112</v>
      </c>
      <c r="B94" s="3">
        <v>46</v>
      </c>
      <c r="C94" s="3">
        <v>37</v>
      </c>
      <c r="D94" s="3">
        <v>49</v>
      </c>
      <c r="E94" s="3">
        <v>27</v>
      </c>
      <c r="F94" s="3">
        <v>82</v>
      </c>
      <c r="G94" s="3">
        <v>66</v>
      </c>
      <c r="H94" s="3">
        <v>33</v>
      </c>
      <c r="I94" s="3">
        <v>99</v>
      </c>
      <c r="J94" s="3">
        <v>41</v>
      </c>
      <c r="K94" s="3">
        <v>64</v>
      </c>
      <c r="L94" s="3">
        <v>2</v>
      </c>
      <c r="M94" s="3">
        <v>3</v>
      </c>
      <c r="N94" s="3">
        <v>3</v>
      </c>
      <c r="O94" s="3">
        <v>3</v>
      </c>
      <c r="P94" s="3">
        <v>4</v>
      </c>
      <c r="Q94" s="3">
        <f t="shared" si="18"/>
        <v>45.349999999999994</v>
      </c>
      <c r="R94" s="3">
        <f t="shared" si="19"/>
        <v>60.4</v>
      </c>
      <c r="S94" s="3">
        <f t="shared" si="20"/>
        <v>13</v>
      </c>
      <c r="T94" s="3">
        <f t="shared" si="21"/>
        <v>65</v>
      </c>
      <c r="U94" s="4">
        <f t="shared" si="22"/>
        <v>35.405000000000001</v>
      </c>
      <c r="V94" s="4">
        <f t="shared" si="23"/>
        <v>48.987499999999997</v>
      </c>
      <c r="W94" s="4">
        <f t="shared" si="24"/>
        <v>38.121499999999997</v>
      </c>
      <c r="X94" s="4">
        <f t="shared" si="25"/>
        <v>46.594999999999999</v>
      </c>
      <c r="Y94" s="21">
        <f t="shared" si="26"/>
        <v>50.951249999999995</v>
      </c>
      <c r="Z94" s="4">
        <f t="shared" si="27"/>
        <v>50.199999999999996</v>
      </c>
      <c r="AA94" s="21">
        <f t="shared" si="28"/>
        <v>40.838000000000001</v>
      </c>
      <c r="AB94" s="4">
        <f t="shared" si="29"/>
        <v>43.179755</v>
      </c>
      <c r="AC94" s="21">
        <f t="shared" si="30"/>
        <v>55.3919</v>
      </c>
      <c r="AD94" s="21">
        <f t="shared" si="31"/>
        <v>42.739549999999994</v>
      </c>
    </row>
    <row r="95" spans="1:30" x14ac:dyDescent="0.3">
      <c r="A95" s="3" t="s">
        <v>113</v>
      </c>
      <c r="B95" s="3">
        <v>29</v>
      </c>
      <c r="C95" s="3">
        <v>75</v>
      </c>
      <c r="D95" s="3">
        <v>64</v>
      </c>
      <c r="E95" s="3">
        <v>97</v>
      </c>
      <c r="F95" s="3">
        <v>35</v>
      </c>
      <c r="G95" s="3">
        <v>20</v>
      </c>
      <c r="H95" s="3">
        <v>93</v>
      </c>
      <c r="I95" s="3">
        <v>43</v>
      </c>
      <c r="J95" s="3">
        <v>67</v>
      </c>
      <c r="K95" s="3">
        <v>25</v>
      </c>
      <c r="L95" s="3">
        <v>6</v>
      </c>
      <c r="M95" s="3">
        <v>1</v>
      </c>
      <c r="N95" s="3">
        <v>1</v>
      </c>
      <c r="O95" s="3">
        <v>2</v>
      </c>
      <c r="P95" s="3">
        <v>1</v>
      </c>
      <c r="Q95" s="3">
        <f t="shared" si="18"/>
        <v>70.100000000000009</v>
      </c>
      <c r="R95" s="3">
        <f t="shared" si="19"/>
        <v>50.4</v>
      </c>
      <c r="S95" s="3">
        <f t="shared" si="20"/>
        <v>5</v>
      </c>
      <c r="T95" s="3">
        <f t="shared" si="21"/>
        <v>25</v>
      </c>
      <c r="U95" s="4">
        <f t="shared" si="22"/>
        <v>51.83</v>
      </c>
      <c r="V95" s="4">
        <f t="shared" si="23"/>
        <v>43.425000000000004</v>
      </c>
      <c r="W95" s="4">
        <f t="shared" si="24"/>
        <v>50.149000000000001</v>
      </c>
      <c r="X95" s="4">
        <f t="shared" si="25"/>
        <v>60.269999999999996</v>
      </c>
      <c r="Y95" s="21">
        <f t="shared" si="26"/>
        <v>33.107500000000002</v>
      </c>
      <c r="Z95" s="4">
        <f t="shared" si="27"/>
        <v>34.533333333333331</v>
      </c>
      <c r="AA95" s="21">
        <f t="shared" si="28"/>
        <v>48.467999999999996</v>
      </c>
      <c r="AB95" s="4">
        <f t="shared" si="29"/>
        <v>45.319596666666669</v>
      </c>
      <c r="AC95" s="21">
        <f t="shared" si="30"/>
        <v>54.153399999999998</v>
      </c>
      <c r="AD95" s="21">
        <f t="shared" si="31"/>
        <v>47.2913</v>
      </c>
    </row>
    <row r="96" spans="1:30" x14ac:dyDescent="0.3">
      <c r="A96" s="3" t="s">
        <v>114</v>
      </c>
      <c r="B96" s="3">
        <v>73</v>
      </c>
      <c r="C96" s="3">
        <v>16</v>
      </c>
      <c r="D96" s="3">
        <v>29</v>
      </c>
      <c r="E96" s="3">
        <v>35</v>
      </c>
      <c r="F96" s="3">
        <v>60</v>
      </c>
      <c r="G96" s="3">
        <v>42</v>
      </c>
      <c r="H96" s="3">
        <v>7</v>
      </c>
      <c r="I96" s="3">
        <v>94</v>
      </c>
      <c r="J96" s="3">
        <v>95</v>
      </c>
      <c r="K96" s="3">
        <v>37</v>
      </c>
      <c r="L96" s="3">
        <v>18</v>
      </c>
      <c r="M96" s="3">
        <v>2</v>
      </c>
      <c r="N96" s="3">
        <v>3</v>
      </c>
      <c r="O96" s="3">
        <v>5</v>
      </c>
      <c r="P96" s="3">
        <v>3</v>
      </c>
      <c r="Q96" s="3">
        <f t="shared" si="18"/>
        <v>30.299999999999997</v>
      </c>
      <c r="R96" s="3">
        <f t="shared" si="19"/>
        <v>51.1</v>
      </c>
      <c r="S96" s="3">
        <f t="shared" si="20"/>
        <v>13</v>
      </c>
      <c r="T96" s="3">
        <f t="shared" si="21"/>
        <v>65</v>
      </c>
      <c r="U96" s="4">
        <f t="shared" si="22"/>
        <v>51.539999999999992</v>
      </c>
      <c r="V96" s="4">
        <f t="shared" si="23"/>
        <v>54.3</v>
      </c>
      <c r="W96" s="4">
        <f t="shared" si="24"/>
        <v>52.091999999999999</v>
      </c>
      <c r="X96" s="4">
        <f t="shared" si="25"/>
        <v>43.01</v>
      </c>
      <c r="Y96" s="21">
        <f t="shared" si="26"/>
        <v>64.435000000000002</v>
      </c>
      <c r="Z96" s="4">
        <f t="shared" si="27"/>
        <v>62.300000000000004</v>
      </c>
      <c r="AA96" s="21">
        <f t="shared" si="28"/>
        <v>52.643999999999998</v>
      </c>
      <c r="AB96" s="4">
        <f t="shared" si="29"/>
        <v>54.240939999999995</v>
      </c>
      <c r="AC96" s="21">
        <f t="shared" si="30"/>
        <v>46.052199999999999</v>
      </c>
      <c r="AD96" s="21">
        <f t="shared" si="31"/>
        <v>53.030399999999993</v>
      </c>
    </row>
    <row r="97" spans="1:30" x14ac:dyDescent="0.3">
      <c r="A97" s="3" t="s">
        <v>115</v>
      </c>
      <c r="B97" s="3">
        <v>81</v>
      </c>
      <c r="C97" s="3">
        <v>77</v>
      </c>
      <c r="D97" s="3">
        <v>33</v>
      </c>
      <c r="E97" s="3">
        <v>53</v>
      </c>
      <c r="F97" s="3">
        <v>94</v>
      </c>
      <c r="G97" s="3">
        <v>56</v>
      </c>
      <c r="H97" s="3">
        <v>99</v>
      </c>
      <c r="I97" s="3">
        <v>15</v>
      </c>
      <c r="J97" s="3">
        <v>50</v>
      </c>
      <c r="K97" s="3">
        <v>72</v>
      </c>
      <c r="L97" s="3">
        <v>13</v>
      </c>
      <c r="M97" s="3">
        <v>2</v>
      </c>
      <c r="N97" s="3">
        <v>1</v>
      </c>
      <c r="O97" s="3">
        <v>3</v>
      </c>
      <c r="P97" s="3">
        <v>5</v>
      </c>
      <c r="Q97" s="3">
        <f t="shared" si="18"/>
        <v>61.550000000000004</v>
      </c>
      <c r="R97" s="3">
        <f t="shared" si="19"/>
        <v>59.25</v>
      </c>
      <c r="S97" s="3">
        <f t="shared" si="20"/>
        <v>11</v>
      </c>
      <c r="T97" s="3">
        <f t="shared" si="21"/>
        <v>55.000000000000007</v>
      </c>
      <c r="U97" s="4">
        <f t="shared" si="22"/>
        <v>51.84</v>
      </c>
      <c r="V97" s="4">
        <f t="shared" si="23"/>
        <v>59.575000000000003</v>
      </c>
      <c r="W97" s="4">
        <f t="shared" si="24"/>
        <v>53.387000000000008</v>
      </c>
      <c r="X97" s="4">
        <f t="shared" si="25"/>
        <v>35.234999999999999</v>
      </c>
      <c r="Y97" s="21">
        <f t="shared" si="26"/>
        <v>63.31</v>
      </c>
      <c r="Z97" s="4">
        <f t="shared" si="27"/>
        <v>58.916666666666664</v>
      </c>
      <c r="AA97" s="21">
        <f t="shared" si="28"/>
        <v>54.934000000000005</v>
      </c>
      <c r="AB97" s="4">
        <f t="shared" si="29"/>
        <v>53.703173333333339</v>
      </c>
      <c r="AC97" s="21">
        <f t="shared" si="30"/>
        <v>42.116700000000002</v>
      </c>
      <c r="AD97" s="21">
        <f t="shared" si="31"/>
        <v>56.016900000000007</v>
      </c>
    </row>
    <row r="98" spans="1:30" x14ac:dyDescent="0.3">
      <c r="A98" s="3" t="s">
        <v>116</v>
      </c>
      <c r="B98" s="3">
        <v>69</v>
      </c>
      <c r="C98" s="3">
        <v>10</v>
      </c>
      <c r="D98" s="3">
        <v>97</v>
      </c>
      <c r="E98" s="3">
        <v>86</v>
      </c>
      <c r="F98" s="3">
        <v>40</v>
      </c>
      <c r="G98" s="3">
        <v>78</v>
      </c>
      <c r="H98" s="3">
        <v>53</v>
      </c>
      <c r="I98" s="3">
        <v>89</v>
      </c>
      <c r="J98" s="3">
        <v>99</v>
      </c>
      <c r="K98" s="3">
        <v>31</v>
      </c>
      <c r="L98" s="3">
        <v>8</v>
      </c>
      <c r="M98" s="3">
        <v>2</v>
      </c>
      <c r="N98" s="3">
        <v>4</v>
      </c>
      <c r="O98" s="3">
        <v>1</v>
      </c>
      <c r="P98" s="3">
        <v>5</v>
      </c>
      <c r="Q98" s="3">
        <f t="shared" si="18"/>
        <v>55.8</v>
      </c>
      <c r="R98" s="3">
        <f t="shared" si="19"/>
        <v>72.399999999999991</v>
      </c>
      <c r="S98" s="3">
        <f t="shared" si="20"/>
        <v>12</v>
      </c>
      <c r="T98" s="3">
        <f t="shared" ref="T98:T101" si="32">(S98/20)*100</f>
        <v>60</v>
      </c>
      <c r="U98" s="4">
        <f t="shared" si="22"/>
        <v>38.540000000000006</v>
      </c>
      <c r="V98" s="4">
        <f t="shared" si="23"/>
        <v>53.1</v>
      </c>
      <c r="W98" s="4">
        <f t="shared" si="24"/>
        <v>41.452000000000012</v>
      </c>
      <c r="X98" s="4">
        <f t="shared" si="25"/>
        <v>38.56</v>
      </c>
      <c r="Y98" s="21">
        <f t="shared" si="26"/>
        <v>57.784999999999997</v>
      </c>
      <c r="Z98" s="4">
        <f t="shared" si="27"/>
        <v>52.20000000000001</v>
      </c>
      <c r="AA98" s="21">
        <f t="shared" si="28"/>
        <v>44.364000000000011</v>
      </c>
      <c r="AB98" s="4">
        <f t="shared" si="29"/>
        <v>43.887640000000005</v>
      </c>
      <c r="AC98" s="21">
        <f t="shared" si="30"/>
        <v>50.513199999999998</v>
      </c>
      <c r="AD98" s="21">
        <f t="shared" si="31"/>
        <v>46.402400000000007</v>
      </c>
    </row>
    <row r="99" spans="1:30" x14ac:dyDescent="0.3">
      <c r="A99" s="3" t="s">
        <v>117</v>
      </c>
      <c r="B99" s="3">
        <v>60</v>
      </c>
      <c r="C99" s="3">
        <v>30</v>
      </c>
      <c r="D99" s="3">
        <v>10</v>
      </c>
      <c r="E99" s="3">
        <v>90</v>
      </c>
      <c r="F99" s="3">
        <v>66</v>
      </c>
      <c r="G99" s="3">
        <v>94</v>
      </c>
      <c r="H99" s="3">
        <v>20</v>
      </c>
      <c r="I99" s="3">
        <v>97</v>
      </c>
      <c r="J99" s="3">
        <v>17</v>
      </c>
      <c r="K99" s="3">
        <v>3</v>
      </c>
      <c r="L99" s="3">
        <v>10</v>
      </c>
      <c r="M99" s="3">
        <v>4</v>
      </c>
      <c r="N99" s="3">
        <v>4</v>
      </c>
      <c r="O99" s="3">
        <v>1</v>
      </c>
      <c r="P99" s="3">
        <v>5</v>
      </c>
      <c r="Q99" s="3">
        <f t="shared" si="18"/>
        <v>41.4</v>
      </c>
      <c r="R99" s="3">
        <f t="shared" si="19"/>
        <v>55.45</v>
      </c>
      <c r="S99" s="3">
        <f t="shared" si="20"/>
        <v>14</v>
      </c>
      <c r="T99" s="3">
        <f t="shared" si="32"/>
        <v>70</v>
      </c>
      <c r="U99" s="4">
        <f t="shared" si="22"/>
        <v>44.695</v>
      </c>
      <c r="V99" s="4">
        <f t="shared" si="23"/>
        <v>53.987499999999997</v>
      </c>
      <c r="W99" s="4">
        <f t="shared" si="24"/>
        <v>46.5535</v>
      </c>
      <c r="X99" s="4">
        <f t="shared" si="25"/>
        <v>41.58</v>
      </c>
      <c r="Y99" s="21">
        <f t="shared" si="26"/>
        <v>60.173749999999998</v>
      </c>
      <c r="Z99" s="4">
        <f t="shared" si="27"/>
        <v>58.183333333333337</v>
      </c>
      <c r="AA99" s="21">
        <f t="shared" si="28"/>
        <v>48.411999999999999</v>
      </c>
      <c r="AB99" s="4">
        <f t="shared" si="29"/>
        <v>50.295911666666669</v>
      </c>
      <c r="AC99" s="21">
        <f t="shared" si="30"/>
        <v>48.585599999999999</v>
      </c>
      <c r="AD99" s="21">
        <f t="shared" si="31"/>
        <v>49.712949999999992</v>
      </c>
    </row>
    <row r="100" spans="1:30" x14ac:dyDescent="0.3">
      <c r="A100" s="3" t="s">
        <v>118</v>
      </c>
      <c r="B100" s="3">
        <v>46</v>
      </c>
      <c r="C100" s="3">
        <v>78</v>
      </c>
      <c r="D100" s="3">
        <v>31</v>
      </c>
      <c r="E100" s="3">
        <v>30</v>
      </c>
      <c r="F100" s="3">
        <v>52</v>
      </c>
      <c r="G100" s="3">
        <v>57</v>
      </c>
      <c r="H100" s="3">
        <v>36</v>
      </c>
      <c r="I100" s="3">
        <v>27</v>
      </c>
      <c r="J100" s="3">
        <v>38</v>
      </c>
      <c r="K100" s="3">
        <v>85</v>
      </c>
      <c r="L100" s="3">
        <v>2</v>
      </c>
      <c r="M100" s="3">
        <v>3</v>
      </c>
      <c r="N100" s="3">
        <v>4</v>
      </c>
      <c r="O100" s="3">
        <v>2</v>
      </c>
      <c r="P100" s="3">
        <v>1</v>
      </c>
      <c r="Q100" s="3">
        <f t="shared" si="18"/>
        <v>50.399999999999991</v>
      </c>
      <c r="R100" s="3">
        <f t="shared" si="19"/>
        <v>45.7</v>
      </c>
      <c r="S100" s="3">
        <f t="shared" si="20"/>
        <v>10</v>
      </c>
      <c r="T100" s="3">
        <f t="shared" si="32"/>
        <v>50</v>
      </c>
      <c r="U100" s="4">
        <f t="shared" si="22"/>
        <v>44.269999999999996</v>
      </c>
      <c r="V100" s="4">
        <f t="shared" si="23"/>
        <v>50.174999999999997</v>
      </c>
      <c r="W100" s="4">
        <f t="shared" si="24"/>
        <v>45.450999999999993</v>
      </c>
      <c r="X100" s="4">
        <f t="shared" si="25"/>
        <v>51.08</v>
      </c>
      <c r="Y100" s="21">
        <f t="shared" si="26"/>
        <v>47.16749999999999</v>
      </c>
      <c r="Z100" s="4">
        <f t="shared" si="27"/>
        <v>50.1</v>
      </c>
      <c r="AA100" s="21">
        <f t="shared" si="28"/>
        <v>46.631999999999998</v>
      </c>
      <c r="AB100" s="4">
        <f t="shared" si="29"/>
        <v>48.694569999999999</v>
      </c>
      <c r="AC100" s="21">
        <f t="shared" si="30"/>
        <v>52.68160000000001</v>
      </c>
      <c r="AD100" s="21">
        <f t="shared" si="31"/>
        <v>47.458699999999993</v>
      </c>
    </row>
    <row r="101" spans="1:30" x14ac:dyDescent="0.3">
      <c r="A101" s="3" t="s">
        <v>119</v>
      </c>
      <c r="B101" s="3">
        <v>24</v>
      </c>
      <c r="C101" s="3">
        <v>79</v>
      </c>
      <c r="D101" s="3">
        <v>71</v>
      </c>
      <c r="E101" s="3">
        <v>27</v>
      </c>
      <c r="F101" s="3">
        <v>66</v>
      </c>
      <c r="G101" s="3">
        <v>28</v>
      </c>
      <c r="H101" s="3">
        <v>52</v>
      </c>
      <c r="I101" s="3">
        <v>82</v>
      </c>
      <c r="J101" s="3">
        <v>7</v>
      </c>
      <c r="K101" s="3">
        <v>73</v>
      </c>
      <c r="L101" s="3">
        <v>10</v>
      </c>
      <c r="M101" s="3">
        <v>2</v>
      </c>
      <c r="N101" s="3">
        <v>4</v>
      </c>
      <c r="O101" s="3">
        <v>2</v>
      </c>
      <c r="P101" s="3">
        <v>4</v>
      </c>
      <c r="Q101" s="3">
        <f t="shared" si="18"/>
        <v>64.25</v>
      </c>
      <c r="R101" s="3">
        <f t="shared" si="19"/>
        <v>46.149999999999991</v>
      </c>
      <c r="S101" s="3">
        <f t="shared" si="20"/>
        <v>12</v>
      </c>
      <c r="T101" s="3">
        <f t="shared" si="32"/>
        <v>60</v>
      </c>
      <c r="U101" s="4">
        <f t="shared" si="22"/>
        <v>56.2</v>
      </c>
      <c r="V101" s="4">
        <f t="shared" si="23"/>
        <v>50.525000000000006</v>
      </c>
      <c r="W101" s="4">
        <f t="shared" si="24"/>
        <v>55.065000000000012</v>
      </c>
      <c r="X101" s="4">
        <f t="shared" si="25"/>
        <v>49.524999999999999</v>
      </c>
      <c r="Y101" s="21">
        <f t="shared" si="26"/>
        <v>46.45</v>
      </c>
      <c r="Z101" s="4">
        <f t="shared" si="27"/>
        <v>45.95000000000001</v>
      </c>
      <c r="AA101" s="21">
        <f t="shared" si="28"/>
        <v>53.930000000000007</v>
      </c>
      <c r="AB101" s="4">
        <f t="shared" si="29"/>
        <v>52.287800000000011</v>
      </c>
      <c r="AC101" s="21">
        <f t="shared" si="30"/>
        <v>47.10649999999999</v>
      </c>
      <c r="AD101" s="21">
        <f t="shared" si="31"/>
        <v>53.135500000000008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7C53-C3C7-4135-9F1F-C5860E19C9E5}">
  <dimension ref="A1:B12"/>
  <sheetViews>
    <sheetView workbookViewId="0">
      <selection activeCell="E9" sqref="E9"/>
    </sheetView>
  </sheetViews>
  <sheetFormatPr defaultRowHeight="14.4" x14ac:dyDescent="0.3"/>
  <cols>
    <col min="1" max="1" width="34" customWidth="1"/>
    <col min="2" max="2" width="15.77734375" customWidth="1"/>
  </cols>
  <sheetData>
    <row r="1" spans="1:2" ht="23.4" x14ac:dyDescent="0.3">
      <c r="A1" s="25" t="s">
        <v>170</v>
      </c>
      <c r="B1" s="25" t="s">
        <v>171</v>
      </c>
    </row>
    <row r="2" spans="1:2" ht="23.4" x14ac:dyDescent="0.45">
      <c r="A2" s="20" t="s">
        <v>124</v>
      </c>
      <c r="B2" s="19">
        <f>AVERAGE(WellAura_Data!U2:U101)</f>
        <v>49.028349999999989</v>
      </c>
    </row>
    <row r="3" spans="1:2" ht="23.4" x14ac:dyDescent="0.45">
      <c r="A3" s="20" t="s">
        <v>125</v>
      </c>
      <c r="B3" s="19">
        <f>AVERAGE(WellAura_Data!V2:V101)</f>
        <v>53.108125000000008</v>
      </c>
    </row>
    <row r="4" spans="1:2" ht="23.4" x14ac:dyDescent="0.45">
      <c r="A4" s="20" t="s">
        <v>126</v>
      </c>
      <c r="B4" s="19">
        <f>AVERAGE(WellAura_Data!W2:W101)</f>
        <v>49.844305000000013</v>
      </c>
    </row>
    <row r="5" spans="1:2" ht="23.4" x14ac:dyDescent="0.45">
      <c r="A5" s="20" t="s">
        <v>127</v>
      </c>
      <c r="B5" s="19">
        <f>AVERAGE(WellAura_Data!X2:X101)</f>
        <v>44.558650000000014</v>
      </c>
    </row>
    <row r="6" spans="1:2" ht="23.4" x14ac:dyDescent="0.45">
      <c r="A6" s="20" t="s">
        <v>128</v>
      </c>
      <c r="B6" s="26">
        <f>COUNTIF(WellAura_Data!X2:X101,"&gt;=60")/COUNTA(WellAura_Data!X2:X101)</f>
        <v>7.0000000000000007E-2</v>
      </c>
    </row>
    <row r="7" spans="1:2" ht="23.4" x14ac:dyDescent="0.3">
      <c r="A7" s="23" t="s">
        <v>172</v>
      </c>
      <c r="B7" s="24">
        <f>AVERAGE(WellAura_Data!Y2:Y101)</f>
        <v>55.141087499999998</v>
      </c>
    </row>
    <row r="8" spans="1:2" ht="23.4" x14ac:dyDescent="0.3">
      <c r="A8" s="23" t="s">
        <v>173</v>
      </c>
      <c r="B8" s="24">
        <f>AVERAGE(WellAura_Data!Z2:Z101)</f>
        <v>53.889333333333362</v>
      </c>
    </row>
    <row r="9" spans="1:2" ht="23.4" x14ac:dyDescent="0.3">
      <c r="A9" s="23" t="s">
        <v>174</v>
      </c>
      <c r="B9" s="24">
        <f>AVERAGE(WellAura_Data!AA2:AA101)</f>
        <v>50.660260000000008</v>
      </c>
    </row>
    <row r="10" spans="1:2" ht="23.4" x14ac:dyDescent="0.3">
      <c r="A10" s="23" t="s">
        <v>175</v>
      </c>
      <c r="B10" s="24">
        <f>AVERAGE(WellAura_Data!AB2:AB101)</f>
        <v>51.095925516666668</v>
      </c>
    </row>
    <row r="11" spans="1:2" ht="23.4" x14ac:dyDescent="0.35">
      <c r="A11" s="23" t="s">
        <v>176</v>
      </c>
      <c r="B11" s="19">
        <f>AVERAGE(WellAura_Data!AC2:AC101)</f>
        <v>47.90541300000001</v>
      </c>
    </row>
    <row r="12" spans="1:2" ht="23.4" x14ac:dyDescent="0.35">
      <c r="A12" s="28" t="s">
        <v>177</v>
      </c>
      <c r="B12" s="19">
        <f>AVERAGE(WellAura_Data!AD2:AD101)</f>
        <v>51.231428499999993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F0AE-01BD-4A1B-90F2-5AA88D941E40}">
  <dimension ref="A1:A10"/>
  <sheetViews>
    <sheetView workbookViewId="0">
      <selection activeCell="C1" sqref="C1"/>
    </sheetView>
  </sheetViews>
  <sheetFormatPr defaultRowHeight="14.4" x14ac:dyDescent="0.3"/>
  <cols>
    <col min="1" max="1" width="105.21875" customWidth="1"/>
  </cols>
  <sheetData>
    <row r="1" spans="1:1" x14ac:dyDescent="0.3">
      <c r="A1" s="29" t="s">
        <v>129</v>
      </c>
    </row>
    <row r="2" spans="1:1" x14ac:dyDescent="0.3">
      <c r="A2" s="29"/>
    </row>
    <row r="3" spans="1:1" ht="24.6" customHeight="1" x14ac:dyDescent="0.4">
      <c r="A3" s="5" t="s">
        <v>130</v>
      </c>
    </row>
    <row r="4" spans="1:1" ht="21" x14ac:dyDescent="0.4">
      <c r="A4" s="6" t="s">
        <v>131</v>
      </c>
    </row>
    <row r="5" spans="1:1" ht="21" x14ac:dyDescent="0.4">
      <c r="A5" s="7" t="s">
        <v>132</v>
      </c>
    </row>
    <row r="6" spans="1:1" ht="21" x14ac:dyDescent="0.4">
      <c r="A6" s="8" t="s">
        <v>135</v>
      </c>
    </row>
    <row r="7" spans="1:1" ht="21" x14ac:dyDescent="0.4">
      <c r="A7" s="9" t="s">
        <v>134</v>
      </c>
    </row>
    <row r="8" spans="1:1" ht="21" x14ac:dyDescent="0.4">
      <c r="A8" s="10" t="s">
        <v>133</v>
      </c>
    </row>
    <row r="10" spans="1:1" ht="46.8" x14ac:dyDescent="0.45">
      <c r="A10" s="11" t="s">
        <v>136</v>
      </c>
    </row>
  </sheetData>
  <mergeCells count="1">
    <mergeCell ref="A1:A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24CA-3430-44AC-A64F-81FB074BF684}">
  <dimension ref="A1:Q17"/>
  <sheetViews>
    <sheetView workbookViewId="0">
      <selection activeCell="K7" sqref="K7"/>
    </sheetView>
  </sheetViews>
  <sheetFormatPr defaultRowHeight="14.4" x14ac:dyDescent="0.3"/>
  <cols>
    <col min="1" max="1" width="17" customWidth="1"/>
    <col min="2" max="2" width="11.21875" customWidth="1"/>
    <col min="7" max="7" width="10.77734375" customWidth="1"/>
    <col min="9" max="9" width="6" customWidth="1"/>
    <col min="10" max="10" width="12" customWidth="1"/>
    <col min="11" max="11" width="16.109375" customWidth="1"/>
    <col min="12" max="12" width="7.21875" customWidth="1"/>
    <col min="15" max="15" width="13.109375" customWidth="1"/>
    <col min="16" max="16" width="19.88671875" customWidth="1"/>
    <col min="17" max="17" width="9.5546875" customWidth="1"/>
  </cols>
  <sheetData>
    <row r="1" spans="1:17" ht="28.8" x14ac:dyDescent="0.3">
      <c r="A1" s="15" t="s">
        <v>137</v>
      </c>
      <c r="B1" s="15" t="s">
        <v>138</v>
      </c>
      <c r="C1" s="15" t="s">
        <v>139</v>
      </c>
      <c r="F1" s="16" t="s">
        <v>137</v>
      </c>
      <c r="G1" s="16" t="s">
        <v>138</v>
      </c>
      <c r="H1" s="16" t="s">
        <v>139</v>
      </c>
      <c r="J1" s="17" t="s">
        <v>137</v>
      </c>
      <c r="K1" s="17" t="s">
        <v>138</v>
      </c>
      <c r="L1" s="17" t="s">
        <v>139</v>
      </c>
      <c r="O1" s="18" t="s">
        <v>137</v>
      </c>
      <c r="P1" s="18" t="s">
        <v>138</v>
      </c>
      <c r="Q1" s="18" t="s">
        <v>139</v>
      </c>
    </row>
    <row r="2" spans="1:17" ht="44.4" customHeight="1" x14ac:dyDescent="0.3">
      <c r="A2" s="14" t="s">
        <v>0</v>
      </c>
      <c r="B2" s="14" t="s">
        <v>140</v>
      </c>
      <c r="C2" s="14" t="s">
        <v>141</v>
      </c>
      <c r="F2" s="14" t="s">
        <v>6</v>
      </c>
      <c r="G2" s="14" t="s">
        <v>148</v>
      </c>
      <c r="H2" s="14" t="s">
        <v>143</v>
      </c>
      <c r="J2" s="14" t="s">
        <v>11</v>
      </c>
      <c r="K2" s="14" t="s">
        <v>153</v>
      </c>
      <c r="L2" s="14" t="s">
        <v>154</v>
      </c>
      <c r="O2" s="14" t="s">
        <v>16</v>
      </c>
      <c r="P2" s="14" t="s">
        <v>158</v>
      </c>
      <c r="Q2" s="14" t="s">
        <v>143</v>
      </c>
    </row>
    <row r="3" spans="1:17" ht="43.2" x14ac:dyDescent="0.3">
      <c r="A3" s="14" t="s">
        <v>1</v>
      </c>
      <c r="B3" s="14" t="s">
        <v>142</v>
      </c>
      <c r="C3" s="14" t="s">
        <v>143</v>
      </c>
      <c r="F3" s="14" t="s">
        <v>7</v>
      </c>
      <c r="G3" s="14" t="s">
        <v>149</v>
      </c>
      <c r="H3" s="14" t="s">
        <v>143</v>
      </c>
      <c r="J3" s="14" t="s">
        <v>155</v>
      </c>
      <c r="K3" s="14" t="s">
        <v>156</v>
      </c>
      <c r="L3" s="14" t="s">
        <v>157</v>
      </c>
      <c r="O3" s="14" t="s">
        <v>17</v>
      </c>
      <c r="P3" s="14" t="s">
        <v>159</v>
      </c>
      <c r="Q3" s="14" t="s">
        <v>143</v>
      </c>
    </row>
    <row r="4" spans="1:17" ht="43.2" x14ac:dyDescent="0.3">
      <c r="A4" s="14" t="s">
        <v>2</v>
      </c>
      <c r="B4" s="14" t="s">
        <v>144</v>
      </c>
      <c r="C4" s="14" t="s">
        <v>143</v>
      </c>
      <c r="F4" s="14" t="s">
        <v>8</v>
      </c>
      <c r="G4" s="14" t="s">
        <v>150</v>
      </c>
      <c r="H4" s="14" t="s">
        <v>143</v>
      </c>
      <c r="O4" s="14" t="s">
        <v>19</v>
      </c>
      <c r="P4" s="14" t="s">
        <v>160</v>
      </c>
      <c r="Q4" s="14" t="s">
        <v>143</v>
      </c>
    </row>
    <row r="5" spans="1:17" ht="28.8" x14ac:dyDescent="0.3">
      <c r="A5" s="14" t="s">
        <v>3</v>
      </c>
      <c r="B5" s="14" t="s">
        <v>145</v>
      </c>
      <c r="C5" s="14" t="s">
        <v>143</v>
      </c>
      <c r="F5" s="14" t="s">
        <v>9</v>
      </c>
      <c r="G5" s="14" t="s">
        <v>151</v>
      </c>
      <c r="H5" s="14" t="s">
        <v>143</v>
      </c>
      <c r="O5" s="14" t="s">
        <v>120</v>
      </c>
      <c r="P5" s="14" t="s">
        <v>161</v>
      </c>
      <c r="Q5" s="14" t="s">
        <v>143</v>
      </c>
    </row>
    <row r="6" spans="1:17" ht="28.8" x14ac:dyDescent="0.3">
      <c r="A6" s="14" t="s">
        <v>4</v>
      </c>
      <c r="B6" s="14" t="s">
        <v>146</v>
      </c>
      <c r="C6" s="14" t="s">
        <v>143</v>
      </c>
      <c r="F6" s="14" t="s">
        <v>10</v>
      </c>
      <c r="G6" s="14" t="s">
        <v>152</v>
      </c>
      <c r="H6" s="14" t="s">
        <v>143</v>
      </c>
      <c r="O6" s="14" t="s">
        <v>122</v>
      </c>
      <c r="P6" s="14" t="s">
        <v>162</v>
      </c>
      <c r="Q6" s="14" t="s">
        <v>143</v>
      </c>
    </row>
    <row r="7" spans="1:17" ht="58.8" customHeight="1" x14ac:dyDescent="0.3">
      <c r="A7" s="14" t="s">
        <v>5</v>
      </c>
      <c r="B7" s="14" t="s">
        <v>147</v>
      </c>
      <c r="C7" s="14" t="s">
        <v>143</v>
      </c>
      <c r="O7" s="14" t="s">
        <v>121</v>
      </c>
      <c r="P7" s="14" t="s">
        <v>163</v>
      </c>
      <c r="Q7" s="14" t="s">
        <v>143</v>
      </c>
    </row>
    <row r="8" spans="1:17" x14ac:dyDescent="0.3">
      <c r="O8" s="14" t="s">
        <v>123</v>
      </c>
      <c r="P8" s="14" t="s">
        <v>164</v>
      </c>
      <c r="Q8" s="14" t="s">
        <v>143</v>
      </c>
    </row>
    <row r="10" spans="1:17" x14ac:dyDescent="0.3">
      <c r="A10" s="12"/>
      <c r="B10" s="12"/>
      <c r="C10" s="12"/>
    </row>
    <row r="11" spans="1:17" x14ac:dyDescent="0.3">
      <c r="A11" s="13"/>
      <c r="B11" s="13"/>
      <c r="C11" s="13"/>
    </row>
    <row r="12" spans="1:17" x14ac:dyDescent="0.3">
      <c r="A12" s="13"/>
      <c r="B12" s="13"/>
      <c r="C12" s="13"/>
    </row>
    <row r="13" spans="1:17" x14ac:dyDescent="0.3">
      <c r="A13" s="13"/>
      <c r="B13" s="13"/>
      <c r="C13" s="13"/>
    </row>
    <row r="14" spans="1:17" x14ac:dyDescent="0.3">
      <c r="A14" s="13"/>
      <c r="B14" s="13"/>
      <c r="C14" s="13"/>
    </row>
    <row r="15" spans="1:17" x14ac:dyDescent="0.3">
      <c r="A15" s="13"/>
      <c r="B15" s="13"/>
      <c r="C15" s="13"/>
    </row>
    <row r="16" spans="1:17" x14ac:dyDescent="0.3">
      <c r="A16" s="13"/>
      <c r="B16" s="13"/>
      <c r="C16" s="13"/>
    </row>
    <row r="17" spans="1:3" x14ac:dyDescent="0.3">
      <c r="A17" s="13"/>
      <c r="B17" s="13"/>
      <c r="C1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WellAura_Data</vt:lpstr>
      <vt:lpstr>Summary SheetAvg WES</vt:lpstr>
      <vt:lpstr>Insights Sheet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Anindita saha</cp:lastModifiedBy>
  <dcterms:created xsi:type="dcterms:W3CDTF">2026-05-01T06:14:46Z</dcterms:created>
  <dcterms:modified xsi:type="dcterms:W3CDTF">2026-05-01T14:47:00Z</dcterms:modified>
</cp:coreProperties>
</file>